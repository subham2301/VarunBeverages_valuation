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user\Desktop\"/>
    </mc:Choice>
  </mc:AlternateContent>
  <xr:revisionPtr revIDLastSave="0" documentId="13_ncr:1_{F59B7791-5A57-4B74-AF24-DFD8EFEAA43F}" xr6:coauthVersionLast="47" xr6:coauthVersionMax="47" xr10:uidLastSave="{00000000-0000-0000-0000-000000000000}"/>
  <bookViews>
    <workbookView xWindow="-108" yWindow="-108" windowWidth="23256" windowHeight="12456" tabRatio="500" firstSheet="3" activeTab="3" xr2:uid="{00000000-000D-0000-FFFF-FFFF00000000}"/>
  </bookViews>
  <sheets>
    <sheet name="Sources" sheetId="6" r:id="rId1"/>
    <sheet name="Company Overview" sheetId="15" r:id="rId2"/>
    <sheet name="Raw Data" sheetId="1" r:id="rId3"/>
    <sheet name="Assumptions" sheetId="2" r:id="rId4"/>
    <sheet name="Financial Statements" sheetId="3" r:id="rId5"/>
    <sheet name="PPE Schedule" sheetId="4" r:id="rId6"/>
    <sheet name="Beta" sheetId="7" r:id="rId7"/>
    <sheet name="WACC" sheetId="8" r:id="rId8"/>
    <sheet name="DCF" sheetId="10" r:id="rId9"/>
    <sheet name="Relative Valuation" sheetId="11" r:id="rId10"/>
    <sheet name="All Ratio Forecasr" sheetId="12" r:id="rId11"/>
    <sheet name="Detail1" sheetId="22" state="hidden" r:id="rId12"/>
    <sheet name="Peer Comparison" sheetId="14" r:id="rId13"/>
    <sheet name="Key Ratio Forecast" sheetId="13" r:id="rId14"/>
    <sheet name="PIVOT TABLE" sheetId="21" state="hidden" r:id="rId15"/>
    <sheet name="Peer Dashboard" sheetId="18" r:id="rId16"/>
  </sheets>
  <definedNames>
    <definedName name="Slicer_Company_Name">#N/A</definedName>
    <definedName name="Slicer_Year">#N/A</definedName>
  </definedNames>
  <calcPr calcId="191029" iterateDelta="1E-4"/>
  <pivotCaches>
    <pivotCache cacheId="0"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4" i="2" l="1"/>
  <c r="K14" i="2"/>
  <c r="L14" i="2"/>
  <c r="M14" i="2"/>
  <c r="I14" i="2"/>
  <c r="G10" i="13" l="1"/>
  <c r="G11" i="13"/>
  <c r="G12" i="13"/>
  <c r="G13" i="13"/>
  <c r="J11" i="11" l="1"/>
  <c r="J10" i="11"/>
  <c r="J6" i="11"/>
  <c r="J7" i="11"/>
  <c r="J8" i="11"/>
  <c r="J5" i="11"/>
  <c r="E6" i="11"/>
  <c r="K6" i="11" s="1"/>
  <c r="E7" i="11"/>
  <c r="L7" i="11" s="1"/>
  <c r="E8" i="11"/>
  <c r="K8" i="11" s="1"/>
  <c r="D6" i="11"/>
  <c r="D7" i="11"/>
  <c r="D8" i="11"/>
  <c r="D5" i="11"/>
  <c r="E5" i="11" s="1"/>
  <c r="M5" i="11" s="1"/>
  <c r="J6"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G5" i="7"/>
  <c r="C5" i="7"/>
  <c r="J13" i="7"/>
  <c r="B14" i="8"/>
  <c r="F73" i="3"/>
  <c r="E73" i="3"/>
  <c r="D73" i="3"/>
  <c r="C73" i="3"/>
  <c r="B10" i="10"/>
  <c r="K27" i="10" s="1"/>
  <c r="B7" i="10"/>
  <c r="B5" i="10"/>
  <c r="C20" i="10" s="1"/>
  <c r="B20" i="8"/>
  <c r="B15" i="8"/>
  <c r="B13" i="8"/>
  <c r="C7" i="6"/>
  <c r="M6" i="11" l="1"/>
  <c r="M11" i="11" s="1"/>
  <c r="K7" i="11"/>
  <c r="M7" i="11"/>
  <c r="M8" i="11"/>
  <c r="K5" i="11"/>
  <c r="L8" i="11"/>
  <c r="L6" i="11"/>
  <c r="L5" i="11"/>
  <c r="J12" i="7"/>
  <c r="B20" i="10"/>
  <c r="E20" i="10"/>
  <c r="F20" i="10"/>
  <c r="D20" i="10"/>
  <c r="B33" i="10"/>
  <c r="G27" i="10"/>
  <c r="B16" i="8"/>
  <c r="C26" i="8" s="1"/>
  <c r="K10" i="11" l="1"/>
  <c r="K11" i="11"/>
  <c r="L11" i="11"/>
  <c r="L10" i="11"/>
  <c r="M10" i="11"/>
  <c r="H21" i="4"/>
  <c r="G21" i="4"/>
  <c r="D21" i="4"/>
  <c r="H17" i="4"/>
  <c r="H16" i="4"/>
  <c r="G16" i="4"/>
  <c r="F16" i="4"/>
  <c r="F21" i="4" s="1"/>
  <c r="E16" i="4"/>
  <c r="D16" i="4"/>
  <c r="C16" i="4"/>
  <c r="C21" i="4" s="1"/>
  <c r="M15" i="4"/>
  <c r="L15" i="4"/>
  <c r="K15" i="4"/>
  <c r="J15" i="4"/>
  <c r="I15" i="4"/>
  <c r="H15" i="4"/>
  <c r="G15" i="4"/>
  <c r="G17" i="4" s="1"/>
  <c r="F15" i="4"/>
  <c r="F17" i="4" s="1"/>
  <c r="E15" i="4"/>
  <c r="D15" i="4"/>
  <c r="D17" i="4" s="1"/>
  <c r="C15" i="4"/>
  <c r="C17" i="4" s="1"/>
  <c r="H11" i="4"/>
  <c r="B23" i="10" s="1"/>
  <c r="G11" i="4"/>
  <c r="G13" i="4" s="1"/>
  <c r="G19" i="4" s="1"/>
  <c r="F11" i="4"/>
  <c r="E11" i="4"/>
  <c r="D11" i="4"/>
  <c r="H10" i="4"/>
  <c r="G10" i="4"/>
  <c r="F10" i="4"/>
  <c r="E10" i="4"/>
  <c r="E13" i="4" s="1"/>
  <c r="D10" i="4"/>
  <c r="D24" i="4" s="1"/>
  <c r="C10" i="4"/>
  <c r="C13" i="4" s="1"/>
  <c r="C19" i="4" s="1"/>
  <c r="H67" i="3"/>
  <c r="G67" i="3"/>
  <c r="F67" i="3"/>
  <c r="E67" i="3"/>
  <c r="D67" i="3"/>
  <c r="C67" i="3"/>
  <c r="H66" i="3"/>
  <c r="G66" i="3"/>
  <c r="F66" i="3"/>
  <c r="E66" i="3"/>
  <c r="D66" i="3"/>
  <c r="C66" i="3"/>
  <c r="H65" i="3"/>
  <c r="B13" i="10" s="1"/>
  <c r="K23" i="10" s="1"/>
  <c r="G65" i="3"/>
  <c r="F65" i="3"/>
  <c r="E65" i="3"/>
  <c r="D65" i="3"/>
  <c r="C65" i="3"/>
  <c r="H64" i="3"/>
  <c r="H80" i="3" s="1"/>
  <c r="G64" i="3"/>
  <c r="G80" i="3" s="1"/>
  <c r="F64" i="3"/>
  <c r="F80" i="3" s="1"/>
  <c r="E64" i="3"/>
  <c r="E80" i="3" s="1"/>
  <c r="D64" i="3"/>
  <c r="D80" i="3" s="1"/>
  <c r="C64" i="3"/>
  <c r="C80" i="3" s="1"/>
  <c r="H63" i="3"/>
  <c r="H79" i="3" s="1"/>
  <c r="G63" i="3"/>
  <c r="G79" i="3" s="1"/>
  <c r="F63" i="3"/>
  <c r="E63" i="3"/>
  <c r="D63" i="3"/>
  <c r="C63" i="3"/>
  <c r="H62" i="3"/>
  <c r="H78" i="3" s="1"/>
  <c r="G62" i="3"/>
  <c r="G78" i="3" s="1"/>
  <c r="F62" i="3"/>
  <c r="E62" i="3"/>
  <c r="D62" i="3"/>
  <c r="C62" i="3"/>
  <c r="H61" i="3"/>
  <c r="G61" i="3"/>
  <c r="F61" i="3"/>
  <c r="F79" i="3" s="1"/>
  <c r="E61" i="3"/>
  <c r="E79" i="3" s="1"/>
  <c r="D61" i="3"/>
  <c r="D79" i="3" s="1"/>
  <c r="C61" i="3"/>
  <c r="C79" i="3" s="1"/>
  <c r="H60" i="3"/>
  <c r="G60" i="3"/>
  <c r="F60" i="3"/>
  <c r="F78" i="3" s="1"/>
  <c r="F81" i="3" s="1"/>
  <c r="E60" i="3"/>
  <c r="E78" i="3" s="1"/>
  <c r="D60" i="3"/>
  <c r="D78" i="3" s="1"/>
  <c r="D81" i="3" s="1"/>
  <c r="C60" i="3"/>
  <c r="C78" i="3" s="1"/>
  <c r="H59" i="3"/>
  <c r="G59" i="3"/>
  <c r="F59" i="3"/>
  <c r="E59" i="3"/>
  <c r="D59" i="3"/>
  <c r="C59" i="3"/>
  <c r="H56" i="3"/>
  <c r="G56" i="3"/>
  <c r="F56" i="3"/>
  <c r="E56" i="3"/>
  <c r="D56" i="3"/>
  <c r="C56" i="3"/>
  <c r="H55" i="3"/>
  <c r="G55" i="3"/>
  <c r="F55" i="3"/>
  <c r="E55" i="3"/>
  <c r="D55" i="3"/>
  <c r="C55" i="3"/>
  <c r="H54" i="3"/>
  <c r="G54" i="3"/>
  <c r="G83" i="3" s="1"/>
  <c r="F54" i="3"/>
  <c r="E54" i="3"/>
  <c r="D54" i="3"/>
  <c r="C54" i="3"/>
  <c r="H53" i="3"/>
  <c r="H82" i="3" s="1"/>
  <c r="G53" i="3"/>
  <c r="G82" i="3" s="1"/>
  <c r="F53" i="3"/>
  <c r="E53" i="3"/>
  <c r="D53" i="3"/>
  <c r="C53" i="3"/>
  <c r="H52" i="3"/>
  <c r="G52" i="3"/>
  <c r="F52" i="3"/>
  <c r="E52" i="3"/>
  <c r="D52" i="3"/>
  <c r="C52" i="3"/>
  <c r="H51" i="3"/>
  <c r="G51" i="3"/>
  <c r="F51" i="3"/>
  <c r="E51" i="3"/>
  <c r="D51" i="3"/>
  <c r="C51" i="3"/>
  <c r="H50" i="3"/>
  <c r="M50" i="3" s="1"/>
  <c r="G50" i="3"/>
  <c r="F50" i="3"/>
  <c r="E50" i="3"/>
  <c r="D50" i="3"/>
  <c r="C50" i="3"/>
  <c r="H49" i="3"/>
  <c r="L49" i="3" s="1"/>
  <c r="G49" i="3"/>
  <c r="F49" i="3"/>
  <c r="E49" i="3"/>
  <c r="D49" i="3"/>
  <c r="C49" i="3"/>
  <c r="H48" i="3"/>
  <c r="G48" i="3"/>
  <c r="F48" i="3"/>
  <c r="E48" i="3"/>
  <c r="D48" i="3"/>
  <c r="C48" i="3"/>
  <c r="H47" i="3"/>
  <c r="G47" i="3"/>
  <c r="F47" i="3"/>
  <c r="E20" i="12" s="1"/>
  <c r="E47" i="3"/>
  <c r="D47" i="3"/>
  <c r="C47" i="3"/>
  <c r="B20" i="12" s="1"/>
  <c r="H46" i="3"/>
  <c r="G46" i="3"/>
  <c r="F46" i="3"/>
  <c r="F83" i="3" s="1"/>
  <c r="E46" i="3"/>
  <c r="E83" i="3" s="1"/>
  <c r="D46" i="3"/>
  <c r="D83" i="3" s="1"/>
  <c r="C46" i="3"/>
  <c r="C83" i="3" s="1"/>
  <c r="H45" i="3"/>
  <c r="L45" i="3" s="1"/>
  <c r="G45" i="3"/>
  <c r="F45" i="3"/>
  <c r="F82" i="3" s="1"/>
  <c r="E45" i="3"/>
  <c r="E82" i="3" s="1"/>
  <c r="E84" i="3" s="1"/>
  <c r="D45" i="3"/>
  <c r="D82" i="3" s="1"/>
  <c r="C45" i="3"/>
  <c r="C82" i="3" s="1"/>
  <c r="H37" i="3"/>
  <c r="G37" i="3"/>
  <c r="F37" i="3"/>
  <c r="E37" i="3"/>
  <c r="D37" i="3"/>
  <c r="C37" i="3"/>
  <c r="B19" i="12" s="1"/>
  <c r="H34" i="3"/>
  <c r="G34" i="3"/>
  <c r="F34" i="3"/>
  <c r="E34" i="3"/>
  <c r="D34" i="3"/>
  <c r="C34" i="3"/>
  <c r="H32" i="3"/>
  <c r="G32" i="3"/>
  <c r="F32" i="3"/>
  <c r="E32" i="3"/>
  <c r="D32" i="3"/>
  <c r="C32" i="3"/>
  <c r="H31" i="3"/>
  <c r="G31" i="3"/>
  <c r="F31" i="3"/>
  <c r="E31" i="3"/>
  <c r="D31" i="3"/>
  <c r="C31" i="3"/>
  <c r="H30" i="3"/>
  <c r="H73" i="3" s="1"/>
  <c r="G30" i="3"/>
  <c r="G73" i="3" s="1"/>
  <c r="F30" i="3"/>
  <c r="E30" i="3"/>
  <c r="D30" i="3"/>
  <c r="C30" i="3"/>
  <c r="H29" i="3"/>
  <c r="G29" i="3"/>
  <c r="F29" i="3"/>
  <c r="E31" i="12" s="1"/>
  <c r="E29" i="3"/>
  <c r="D29" i="3"/>
  <c r="C31" i="12" s="1"/>
  <c r="C29" i="3"/>
  <c r="H26" i="3"/>
  <c r="G26" i="3"/>
  <c r="F26" i="3"/>
  <c r="E26" i="3"/>
  <c r="D26" i="3"/>
  <c r="C26" i="3"/>
  <c r="H25" i="3"/>
  <c r="H74" i="3" s="1"/>
  <c r="G25" i="3"/>
  <c r="G74" i="3" s="1"/>
  <c r="F25" i="3"/>
  <c r="E25" i="3"/>
  <c r="D25" i="3"/>
  <c r="C25" i="3"/>
  <c r="H22" i="3"/>
  <c r="G22" i="3"/>
  <c r="F22" i="3"/>
  <c r="E22" i="3"/>
  <c r="D22" i="3"/>
  <c r="C22" i="3"/>
  <c r="H20" i="3"/>
  <c r="G20" i="3"/>
  <c r="F20" i="3"/>
  <c r="E20" i="3"/>
  <c r="D20" i="3"/>
  <c r="C20" i="3"/>
  <c r="H19" i="3"/>
  <c r="G19" i="3"/>
  <c r="F19" i="3"/>
  <c r="E19" i="3"/>
  <c r="D19" i="3"/>
  <c r="C19" i="3"/>
  <c r="H18" i="3"/>
  <c r="G18" i="3"/>
  <c r="F18" i="3"/>
  <c r="E18" i="3"/>
  <c r="D18" i="3"/>
  <c r="C18" i="3"/>
  <c r="H17" i="3"/>
  <c r="G17" i="3"/>
  <c r="F17" i="3"/>
  <c r="E17" i="3"/>
  <c r="D17" i="3"/>
  <c r="C17" i="3"/>
  <c r="H16" i="3"/>
  <c r="G16" i="3"/>
  <c r="F16" i="3"/>
  <c r="F75" i="3" s="1"/>
  <c r="E16" i="3"/>
  <c r="E75" i="3" s="1"/>
  <c r="D16" i="3"/>
  <c r="D75" i="3" s="1"/>
  <c r="C16" i="3"/>
  <c r="C75" i="3" s="1"/>
  <c r="H15" i="3"/>
  <c r="G15" i="3"/>
  <c r="F15" i="3"/>
  <c r="F74" i="3" s="1"/>
  <c r="F76" i="3" s="1"/>
  <c r="E15" i="3"/>
  <c r="E74" i="3" s="1"/>
  <c r="D15" i="3"/>
  <c r="D74" i="3" s="1"/>
  <c r="C15" i="3"/>
  <c r="C74" i="3" s="1"/>
  <c r="H14" i="3"/>
  <c r="G14" i="3"/>
  <c r="F14" i="3"/>
  <c r="E14" i="3"/>
  <c r="D14" i="3"/>
  <c r="C14" i="3"/>
  <c r="H11" i="3"/>
  <c r="G11" i="3"/>
  <c r="F11" i="3"/>
  <c r="E11" i="3"/>
  <c r="D11" i="3"/>
  <c r="C11" i="3"/>
  <c r="M10" i="3"/>
  <c r="L10" i="3"/>
  <c r="K10" i="3"/>
  <c r="J10" i="3"/>
  <c r="I10" i="3"/>
  <c r="H10" i="3"/>
  <c r="G10" i="3"/>
  <c r="F10" i="3"/>
  <c r="E10" i="3"/>
  <c r="D10" i="3"/>
  <c r="C10" i="3"/>
  <c r="H9" i="3"/>
  <c r="G9" i="3"/>
  <c r="F9" i="3"/>
  <c r="E9" i="3"/>
  <c r="D9" i="3"/>
  <c r="C9" i="3"/>
  <c r="H8" i="3"/>
  <c r="G8" i="3"/>
  <c r="F8" i="3"/>
  <c r="E8" i="3"/>
  <c r="D8" i="3"/>
  <c r="C8" i="3"/>
  <c r="H36" i="2"/>
  <c r="I36" i="2" s="1"/>
  <c r="G36" i="2"/>
  <c r="F36" i="2"/>
  <c r="E36" i="2"/>
  <c r="D36" i="2"/>
  <c r="C36" i="2"/>
  <c r="H35" i="2"/>
  <c r="I35" i="2" s="1"/>
  <c r="I48" i="3" s="1"/>
  <c r="G35" i="2"/>
  <c r="F35" i="2"/>
  <c r="E35" i="2"/>
  <c r="D35" i="2"/>
  <c r="C35" i="2"/>
  <c r="H34" i="2"/>
  <c r="G34" i="2"/>
  <c r="F34" i="2"/>
  <c r="E34" i="2"/>
  <c r="D34" i="2"/>
  <c r="H33" i="2"/>
  <c r="G26" i="12" s="1"/>
  <c r="G33" i="2"/>
  <c r="F26" i="12" s="1"/>
  <c r="F33" i="2"/>
  <c r="E26" i="12" s="1"/>
  <c r="E33" i="2"/>
  <c r="D26" i="12" s="1"/>
  <c r="D33" i="2"/>
  <c r="C26" i="12" s="1"/>
  <c r="C33" i="2"/>
  <c r="B26" i="12" s="1"/>
  <c r="H32" i="2"/>
  <c r="G27" i="12" s="1"/>
  <c r="G32" i="2"/>
  <c r="F27" i="12" s="1"/>
  <c r="F32" i="2"/>
  <c r="E32" i="2"/>
  <c r="D27" i="12" s="1"/>
  <c r="D32" i="2"/>
  <c r="C27" i="12" s="1"/>
  <c r="C32" i="2"/>
  <c r="B27" i="12" s="1"/>
  <c r="H31" i="2"/>
  <c r="G25" i="12" s="1"/>
  <c r="G31" i="2"/>
  <c r="F25" i="12" s="1"/>
  <c r="F31" i="2"/>
  <c r="E25" i="12" s="1"/>
  <c r="E31" i="2"/>
  <c r="D25" i="12" s="1"/>
  <c r="D31" i="2"/>
  <c r="C31" i="2"/>
  <c r="H25" i="2"/>
  <c r="G25" i="2"/>
  <c r="F25" i="2"/>
  <c r="E25" i="2"/>
  <c r="D25" i="2"/>
  <c r="C25" i="2"/>
  <c r="H24" i="2"/>
  <c r="G24" i="2"/>
  <c r="F24" i="2"/>
  <c r="E24" i="2"/>
  <c r="D24" i="2"/>
  <c r="C24" i="2"/>
  <c r="H23" i="2"/>
  <c r="G23" i="2"/>
  <c r="F23" i="2"/>
  <c r="E23" i="2"/>
  <c r="D23" i="2"/>
  <c r="C23" i="2"/>
  <c r="H22" i="2"/>
  <c r="G22" i="2"/>
  <c r="F22" i="2"/>
  <c r="E22" i="2"/>
  <c r="D22" i="2"/>
  <c r="C22" i="2"/>
  <c r="H21" i="2"/>
  <c r="G21" i="2"/>
  <c r="F21" i="2"/>
  <c r="E21" i="2"/>
  <c r="D21" i="2"/>
  <c r="C21" i="2"/>
  <c r="H20" i="2"/>
  <c r="G20" i="2"/>
  <c r="F20" i="2"/>
  <c r="E20" i="2"/>
  <c r="D20" i="2"/>
  <c r="C20" i="2"/>
  <c r="H19" i="2"/>
  <c r="G19" i="2"/>
  <c r="F19" i="2"/>
  <c r="E19" i="2"/>
  <c r="D19" i="2"/>
  <c r="C19" i="2"/>
  <c r="H18" i="2"/>
  <c r="G18" i="2"/>
  <c r="F18" i="2"/>
  <c r="E18" i="2"/>
  <c r="D18" i="2"/>
  <c r="C18" i="2"/>
  <c r="H17" i="2"/>
  <c r="G17" i="2"/>
  <c r="F17" i="2"/>
  <c r="E17" i="2"/>
  <c r="D17" i="2"/>
  <c r="C17" i="2"/>
  <c r="H16" i="2"/>
  <c r="G16" i="2"/>
  <c r="F16" i="2"/>
  <c r="E16" i="2"/>
  <c r="D16" i="2"/>
  <c r="C16" i="2"/>
  <c r="H15" i="2"/>
  <c r="G15" i="2"/>
  <c r="F15" i="2"/>
  <c r="E15" i="2"/>
  <c r="D15" i="2"/>
  <c r="C15" i="2"/>
  <c r="H13" i="2"/>
  <c r="I13" i="2" s="1"/>
  <c r="I8" i="3" s="1"/>
  <c r="G13" i="2"/>
  <c r="F13" i="2"/>
  <c r="F14" i="2" s="1"/>
  <c r="E13" i="2"/>
  <c r="D13" i="2"/>
  <c r="C13" i="2"/>
  <c r="J18" i="2" l="1"/>
  <c r="K34" i="2"/>
  <c r="K23" i="4" s="1"/>
  <c r="L25" i="2"/>
  <c r="K15" i="2"/>
  <c r="J23" i="2"/>
  <c r="L18" i="2"/>
  <c r="J15" i="2"/>
  <c r="E14" i="2"/>
  <c r="I18" i="2"/>
  <c r="I16" i="3" s="1"/>
  <c r="K31" i="2"/>
  <c r="J25" i="12" s="1"/>
  <c r="B25" i="12"/>
  <c r="I34" i="2"/>
  <c r="I23" i="4" s="1"/>
  <c r="J34" i="2"/>
  <c r="J23" i="4" s="1"/>
  <c r="G14" i="2"/>
  <c r="J16" i="2"/>
  <c r="K18" i="2"/>
  <c r="M19" i="2"/>
  <c r="L23" i="2"/>
  <c r="K25" i="2"/>
  <c r="I32" i="2"/>
  <c r="H27" i="12" s="1"/>
  <c r="E27" i="12"/>
  <c r="L34" i="2"/>
  <c r="L23" i="4" s="1"/>
  <c r="J31" i="2"/>
  <c r="I25" i="12" s="1"/>
  <c r="C25" i="12"/>
  <c r="J13" i="2"/>
  <c r="K13" i="2" s="1"/>
  <c r="L17" i="2"/>
  <c r="I19" i="2"/>
  <c r="J24" i="2"/>
  <c r="I25" i="2"/>
  <c r="L15" i="2"/>
  <c r="J21" i="2"/>
  <c r="I31" i="2"/>
  <c r="H25" i="12" s="1"/>
  <c r="I21" i="2"/>
  <c r="H14" i="2"/>
  <c r="D14" i="2"/>
  <c r="M25" i="2"/>
  <c r="J45" i="3"/>
  <c r="C84" i="3"/>
  <c r="D20" i="12"/>
  <c r="F30" i="12"/>
  <c r="H81" i="3"/>
  <c r="F20" i="12"/>
  <c r="G24" i="4"/>
  <c r="F13" i="4"/>
  <c r="F19" i="4" s="1"/>
  <c r="H27" i="3"/>
  <c r="F84" i="3"/>
  <c r="B30" i="12"/>
  <c r="G84" i="3"/>
  <c r="G29" i="12"/>
  <c r="B19" i="8"/>
  <c r="B21" i="8" s="1"/>
  <c r="C25" i="8" s="1"/>
  <c r="G31" i="12"/>
  <c r="H75" i="3"/>
  <c r="H76" i="3" s="1"/>
  <c r="F35" i="3"/>
  <c r="E15" i="12"/>
  <c r="D6" i="12"/>
  <c r="E16" i="12"/>
  <c r="E13" i="12"/>
  <c r="C8" i="4"/>
  <c r="B28" i="12"/>
  <c r="C10" i="12"/>
  <c r="C11" i="12"/>
  <c r="B5" i="12"/>
  <c r="D84" i="3"/>
  <c r="D85" i="3" s="1"/>
  <c r="G30" i="12"/>
  <c r="B5" i="8"/>
  <c r="D8" i="4"/>
  <c r="B4" i="12"/>
  <c r="C28" i="12"/>
  <c r="D11" i="12"/>
  <c r="D10" i="12"/>
  <c r="C5" i="12"/>
  <c r="C19" i="12"/>
  <c r="B7" i="12"/>
  <c r="D28" i="12"/>
  <c r="C4" i="12"/>
  <c r="D5" i="12"/>
  <c r="E11" i="12"/>
  <c r="E10" i="12"/>
  <c r="B31" i="12"/>
  <c r="C7" i="12"/>
  <c r="D19" i="12"/>
  <c r="B6" i="8"/>
  <c r="G20" i="12"/>
  <c r="C23" i="3"/>
  <c r="B11" i="12"/>
  <c r="B10" i="12"/>
  <c r="B5" i="13"/>
  <c r="G12" i="12"/>
  <c r="D27" i="3"/>
  <c r="C12" i="12" s="1"/>
  <c r="B8" i="13"/>
  <c r="G15" i="12"/>
  <c r="F6" i="12"/>
  <c r="G16" i="12"/>
  <c r="G13" i="12"/>
  <c r="G4" i="12"/>
  <c r="F33" i="3"/>
  <c r="E14" i="12" s="1"/>
  <c r="E28" i="12"/>
  <c r="D4" i="12"/>
  <c r="G23" i="3"/>
  <c r="F10" i="12"/>
  <c r="E5" i="12"/>
  <c r="F11" i="12"/>
  <c r="D7" i="12"/>
  <c r="E19" i="12"/>
  <c r="B29" i="12"/>
  <c r="C76" i="3"/>
  <c r="G8" i="4"/>
  <c r="G23" i="4" s="1"/>
  <c r="F28" i="12"/>
  <c r="E4" i="12"/>
  <c r="G10" i="12"/>
  <c r="B6" i="13"/>
  <c r="F5" i="12"/>
  <c r="G11" i="12"/>
  <c r="B4" i="13"/>
  <c r="D31" i="12"/>
  <c r="C33" i="3"/>
  <c r="B14" i="12" s="1"/>
  <c r="B13" i="12"/>
  <c r="B16" i="12"/>
  <c r="B15" i="12"/>
  <c r="F19" i="12"/>
  <c r="E7" i="12"/>
  <c r="I45" i="3"/>
  <c r="C30" i="12"/>
  <c r="I54" i="3"/>
  <c r="H83" i="3"/>
  <c r="H84" i="3" s="1"/>
  <c r="H85" i="3" s="1"/>
  <c r="C29" i="12"/>
  <c r="H8" i="4"/>
  <c r="H23" i="4" s="1"/>
  <c r="F4" i="12"/>
  <c r="G28" i="12"/>
  <c r="B6" i="12"/>
  <c r="C16" i="12"/>
  <c r="C13" i="12"/>
  <c r="C15" i="12"/>
  <c r="B9" i="13"/>
  <c r="G19" i="12"/>
  <c r="F7" i="12"/>
  <c r="D30" i="12"/>
  <c r="D29" i="12"/>
  <c r="G35" i="3"/>
  <c r="F13" i="12"/>
  <c r="F15" i="12"/>
  <c r="E6" i="12"/>
  <c r="F16" i="12"/>
  <c r="F27" i="3"/>
  <c r="E12" i="12" s="1"/>
  <c r="G75" i="3"/>
  <c r="G76" i="3" s="1"/>
  <c r="F31" i="12"/>
  <c r="E35" i="3"/>
  <c r="D15" i="12"/>
  <c r="C6" i="12"/>
  <c r="D16" i="12"/>
  <c r="D13" i="12"/>
  <c r="M45" i="3"/>
  <c r="C20" i="12"/>
  <c r="E30" i="12"/>
  <c r="E29" i="12"/>
  <c r="F29" i="12"/>
  <c r="H13" i="4"/>
  <c r="I10" i="4" s="1"/>
  <c r="E27" i="3"/>
  <c r="D12" i="12" s="1"/>
  <c r="E76" i="3"/>
  <c r="G33" i="3"/>
  <c r="F14" i="12" s="1"/>
  <c r="I64" i="3"/>
  <c r="I80" i="3" s="1"/>
  <c r="C81" i="3"/>
  <c r="C85" i="3" s="1"/>
  <c r="I50" i="3"/>
  <c r="D23" i="3"/>
  <c r="G27" i="3"/>
  <c r="F12" i="12" s="1"/>
  <c r="D33" i="3"/>
  <c r="C14" i="12" s="1"/>
  <c r="B12" i="10"/>
  <c r="K22" i="10" s="1"/>
  <c r="M49" i="3"/>
  <c r="J50" i="3"/>
  <c r="E81" i="3"/>
  <c r="E85" i="3" s="1"/>
  <c r="G81" i="3"/>
  <c r="B11" i="10"/>
  <c r="K50" i="3"/>
  <c r="F85" i="3"/>
  <c r="L50" i="3"/>
  <c r="I49" i="3"/>
  <c r="I51" i="3" s="1"/>
  <c r="D76" i="3"/>
  <c r="H23" i="3"/>
  <c r="B7" i="13" s="1"/>
  <c r="C27" i="3"/>
  <c r="B12" i="12" s="1"/>
  <c r="H35" i="3"/>
  <c r="C35" i="3"/>
  <c r="K45" i="3"/>
  <c r="I60" i="3"/>
  <c r="E24" i="4"/>
  <c r="J22" i="2"/>
  <c r="J24" i="4" s="1"/>
  <c r="K22" i="2"/>
  <c r="K24" i="4" s="1"/>
  <c r="I22" i="2"/>
  <c r="I24" i="4" s="1"/>
  <c r="M20" i="2"/>
  <c r="L20" i="2"/>
  <c r="J20" i="2"/>
  <c r="I20" i="2"/>
  <c r="I18" i="3" s="1"/>
  <c r="M32" i="2"/>
  <c r="L27" i="12" s="1"/>
  <c r="M33" i="2"/>
  <c r="L26" i="12" s="1"/>
  <c r="L33" i="2"/>
  <c r="K26" i="12" s="1"/>
  <c r="J33" i="2"/>
  <c r="I26" i="12" s="1"/>
  <c r="I33" i="2"/>
  <c r="H26" i="12" s="1"/>
  <c r="I63" i="3"/>
  <c r="I79" i="3" s="1"/>
  <c r="I11" i="4"/>
  <c r="C23" i="10" s="1"/>
  <c r="I15" i="3"/>
  <c r="I17" i="3"/>
  <c r="I19" i="3"/>
  <c r="I8" i="4"/>
  <c r="J36" i="2"/>
  <c r="I52" i="3"/>
  <c r="H19" i="4"/>
  <c r="K17" i="2"/>
  <c r="M22" i="2"/>
  <c r="M24" i="4" s="1"/>
  <c r="M24" i="2"/>
  <c r="D23" i="4"/>
  <c r="I24" i="2"/>
  <c r="J17" i="2"/>
  <c r="M17" i="2"/>
  <c r="I17" i="2"/>
  <c r="M16" i="2"/>
  <c r="K33" i="2"/>
  <c r="J26" i="12" s="1"/>
  <c r="I16" i="2"/>
  <c r="I14" i="3" s="1"/>
  <c r="K20" i="2"/>
  <c r="L22" i="2"/>
  <c r="L24" i="4" s="1"/>
  <c r="F24" i="4"/>
  <c r="K16" i="2"/>
  <c r="M18" i="2"/>
  <c r="J19" i="2"/>
  <c r="L21" i="2"/>
  <c r="K24" i="2"/>
  <c r="M31" i="2"/>
  <c r="L25" i="12" s="1"/>
  <c r="J32" i="2"/>
  <c r="I27" i="12" s="1"/>
  <c r="M34" i="2"/>
  <c r="M23" i="4" s="1"/>
  <c r="J35" i="2"/>
  <c r="H33" i="3"/>
  <c r="G14" i="12" s="1"/>
  <c r="H24" i="4"/>
  <c r="M23" i="2"/>
  <c r="J25" i="2"/>
  <c r="L32" i="2"/>
  <c r="K27" i="12" s="1"/>
  <c r="D35" i="3"/>
  <c r="J49" i="3"/>
  <c r="D13" i="4"/>
  <c r="D19" i="4" s="1"/>
  <c r="E21" i="4"/>
  <c r="M15" i="2"/>
  <c r="K21" i="2"/>
  <c r="L31" i="2"/>
  <c r="K25" i="12" s="1"/>
  <c r="L16" i="2"/>
  <c r="K19" i="2"/>
  <c r="M21" i="2"/>
  <c r="L24" i="2"/>
  <c r="K32" i="2"/>
  <c r="J27" i="12" s="1"/>
  <c r="L19" i="2"/>
  <c r="I15" i="2"/>
  <c r="I9" i="3" s="1"/>
  <c r="I11" i="3" s="1"/>
  <c r="I23" i="2"/>
  <c r="I29" i="3" s="1"/>
  <c r="K49" i="3"/>
  <c r="E8" i="4"/>
  <c r="E23" i="4" s="1"/>
  <c r="F8" i="4"/>
  <c r="F23" i="4" s="1"/>
  <c r="E17" i="4"/>
  <c r="E19" i="4" s="1"/>
  <c r="E23" i="3"/>
  <c r="E33" i="3"/>
  <c r="D14" i="12" s="1"/>
  <c r="K23" i="2"/>
  <c r="F23" i="3"/>
  <c r="J8" i="3" l="1"/>
  <c r="J18" i="3" s="1"/>
  <c r="G85" i="3"/>
  <c r="I75" i="3"/>
  <c r="J54" i="3"/>
  <c r="I83" i="3"/>
  <c r="J60" i="3"/>
  <c r="J64" i="3"/>
  <c r="J80" i="3" s="1"/>
  <c r="K28" i="10"/>
  <c r="K29" i="10" s="1"/>
  <c r="K25" i="10"/>
  <c r="B7" i="8"/>
  <c r="B9" i="8" s="1"/>
  <c r="B26" i="8" s="1"/>
  <c r="D26" i="8" s="1"/>
  <c r="B10" i="8"/>
  <c r="J29" i="3"/>
  <c r="K35" i="2"/>
  <c r="J48" i="3"/>
  <c r="I16" i="4"/>
  <c r="I13" i="4"/>
  <c r="I53" i="3"/>
  <c r="I20" i="3"/>
  <c r="I22" i="3" s="1"/>
  <c r="I62" i="3"/>
  <c r="I78" i="3" s="1"/>
  <c r="I81" i="3" s="1"/>
  <c r="K36" i="2"/>
  <c r="J52" i="3"/>
  <c r="L13" i="2"/>
  <c r="K8" i="3"/>
  <c r="J63" i="3"/>
  <c r="J79" i="3" s="1"/>
  <c r="J15" i="3"/>
  <c r="J17" i="3"/>
  <c r="J9" i="3"/>
  <c r="J11" i="3" s="1"/>
  <c r="J14" i="3"/>
  <c r="J8" i="4"/>
  <c r="J16" i="3"/>
  <c r="J19" i="3" l="1"/>
  <c r="H4" i="12"/>
  <c r="J11" i="4"/>
  <c r="D23" i="10" s="1"/>
  <c r="K54" i="3"/>
  <c r="J83" i="3"/>
  <c r="C4" i="13"/>
  <c r="H10" i="12"/>
  <c r="C6" i="13"/>
  <c r="G5" i="12"/>
  <c r="H11" i="12"/>
  <c r="I55" i="3"/>
  <c r="I82" i="3"/>
  <c r="I84" i="3" s="1"/>
  <c r="I85" i="3" s="1"/>
  <c r="B24" i="10" s="1"/>
  <c r="J75" i="3"/>
  <c r="I4" i="12"/>
  <c r="J51" i="3"/>
  <c r="K64" i="3"/>
  <c r="K80" i="3" s="1"/>
  <c r="B8" i="8"/>
  <c r="B25" i="8" s="1"/>
  <c r="D25" i="8" s="1"/>
  <c r="D27" i="8" s="1"/>
  <c r="K60" i="3"/>
  <c r="I23" i="3"/>
  <c r="C7" i="13" s="1"/>
  <c r="J10" i="4"/>
  <c r="K11" i="4"/>
  <c r="E23" i="10" s="1"/>
  <c r="K15" i="3"/>
  <c r="K17" i="3"/>
  <c r="K14" i="3"/>
  <c r="K19" i="3"/>
  <c r="K9" i="3"/>
  <c r="K11" i="3" s="1"/>
  <c r="K8" i="4"/>
  <c r="K16" i="3"/>
  <c r="K18" i="3"/>
  <c r="K63" i="3"/>
  <c r="K79" i="3" s="1"/>
  <c r="I21" i="4"/>
  <c r="I25" i="3" s="1"/>
  <c r="I74" i="3" s="1"/>
  <c r="I17" i="4"/>
  <c r="I19" i="4" s="1"/>
  <c r="I59" i="3" s="1"/>
  <c r="I61" i="3" s="1"/>
  <c r="J53" i="3"/>
  <c r="J20" i="3"/>
  <c r="J22" i="3" s="1"/>
  <c r="J62" i="3"/>
  <c r="J78" i="3" s="1"/>
  <c r="J81" i="3" s="1"/>
  <c r="M13" i="2"/>
  <c r="M8" i="3" s="1"/>
  <c r="L8" i="3"/>
  <c r="L35" i="2"/>
  <c r="K48" i="3"/>
  <c r="K29" i="3"/>
  <c r="L36" i="2"/>
  <c r="K52" i="3"/>
  <c r="J55" i="3" l="1"/>
  <c r="J82" i="3"/>
  <c r="J84" i="3" s="1"/>
  <c r="J85" i="3" s="1"/>
  <c r="C24" i="10" s="1"/>
  <c r="L54" i="3"/>
  <c r="K83" i="3"/>
  <c r="K4" i="12"/>
  <c r="L4" i="12"/>
  <c r="D4" i="13"/>
  <c r="I10" i="12"/>
  <c r="D6" i="13"/>
  <c r="H5" i="12"/>
  <c r="I11" i="12"/>
  <c r="K75" i="3"/>
  <c r="K51" i="3"/>
  <c r="J4" i="12"/>
  <c r="B6" i="10"/>
  <c r="C26" i="10" s="1"/>
  <c r="C28" i="10" s="1"/>
  <c r="L60" i="3"/>
  <c r="I26" i="3"/>
  <c r="B22" i="10"/>
  <c r="L64" i="3"/>
  <c r="L80" i="3" s="1"/>
  <c r="J23" i="3"/>
  <c r="D7" i="13" s="1"/>
  <c r="L17" i="3"/>
  <c r="L14" i="3"/>
  <c r="L19" i="3"/>
  <c r="L9" i="3"/>
  <c r="L11" i="3" s="1"/>
  <c r="L8" i="4"/>
  <c r="L16" i="3"/>
  <c r="L63" i="3"/>
  <c r="L79" i="3" s="1"/>
  <c r="L18" i="3"/>
  <c r="L15" i="3"/>
  <c r="L11" i="4"/>
  <c r="F23" i="10" s="1"/>
  <c r="M17" i="3"/>
  <c r="M14" i="3"/>
  <c r="M19" i="3"/>
  <c r="M9" i="3"/>
  <c r="M11" i="3" s="1"/>
  <c r="M8" i="4"/>
  <c r="M16" i="3"/>
  <c r="M63" i="3"/>
  <c r="M79" i="3" s="1"/>
  <c r="M18" i="3"/>
  <c r="M11" i="4"/>
  <c r="M15" i="3"/>
  <c r="M36" i="2"/>
  <c r="M52" i="3" s="1"/>
  <c r="L52" i="3"/>
  <c r="J16" i="4"/>
  <c r="J13" i="4"/>
  <c r="M35" i="2"/>
  <c r="L48" i="3"/>
  <c r="L29" i="3"/>
  <c r="K20" i="3"/>
  <c r="K22" i="3" s="1"/>
  <c r="K62" i="3"/>
  <c r="K78" i="3" s="1"/>
  <c r="K81" i="3" s="1"/>
  <c r="K53" i="3"/>
  <c r="B19" i="10" l="1"/>
  <c r="B21" i="10" s="1"/>
  <c r="H31" i="12"/>
  <c r="M54" i="3"/>
  <c r="M83" i="3" s="1"/>
  <c r="L83" i="3"/>
  <c r="I30" i="3"/>
  <c r="I73" i="3" s="1"/>
  <c r="I76" i="3" s="1"/>
  <c r="E4" i="13"/>
  <c r="J10" i="12"/>
  <c r="E6" i="13"/>
  <c r="I5" i="12"/>
  <c r="J11" i="12"/>
  <c r="L75" i="3"/>
  <c r="L51" i="3"/>
  <c r="K55" i="3"/>
  <c r="K82" i="3"/>
  <c r="K84" i="3" s="1"/>
  <c r="K85" i="3" s="1"/>
  <c r="D24" i="10" s="1"/>
  <c r="I27" i="3"/>
  <c r="G26" i="10"/>
  <c r="G28" i="10" s="1"/>
  <c r="B26" i="10"/>
  <c r="B28" i="10" s="1"/>
  <c r="F26" i="10"/>
  <c r="F28" i="10" s="1"/>
  <c r="E26" i="10"/>
  <c r="E28" i="10" s="1"/>
  <c r="D26" i="10"/>
  <c r="D28" i="10" s="1"/>
  <c r="M64" i="3"/>
  <c r="M80" i="3" s="1"/>
  <c r="B25" i="10"/>
  <c r="M60" i="3"/>
  <c r="K23" i="3"/>
  <c r="E7" i="13" s="1"/>
  <c r="L20" i="3"/>
  <c r="L22" i="3" s="1"/>
  <c r="L62" i="3"/>
  <c r="L78" i="3" s="1"/>
  <c r="L81" i="3" s="1"/>
  <c r="L53" i="3"/>
  <c r="M29" i="3"/>
  <c r="M48" i="3"/>
  <c r="K10" i="4"/>
  <c r="J17" i="4"/>
  <c r="J19" i="4" s="1"/>
  <c r="J59" i="3" s="1"/>
  <c r="J61" i="3" s="1"/>
  <c r="J21" i="4"/>
  <c r="J25" i="3" s="1"/>
  <c r="C22" i="10" s="1"/>
  <c r="M62" i="3"/>
  <c r="M78" i="3" s="1"/>
  <c r="M53" i="3"/>
  <c r="M20" i="3"/>
  <c r="M22" i="3" s="1"/>
  <c r="M81" i="3" l="1"/>
  <c r="L55" i="3"/>
  <c r="L82" i="3"/>
  <c r="L84" i="3" s="1"/>
  <c r="I31" i="3"/>
  <c r="I32" i="3" s="1"/>
  <c r="H12" i="12"/>
  <c r="C5" i="13"/>
  <c r="F4" i="13"/>
  <c r="F6" i="13"/>
  <c r="J5" i="12"/>
  <c r="K10" i="12"/>
  <c r="K11" i="12"/>
  <c r="M55" i="3"/>
  <c r="M82" i="3"/>
  <c r="M84" i="3" s="1"/>
  <c r="M85" i="3" s="1"/>
  <c r="M51" i="3"/>
  <c r="L85" i="3"/>
  <c r="E24" i="10" s="1"/>
  <c r="L5" i="12"/>
  <c r="L11" i="12"/>
  <c r="L10" i="12"/>
  <c r="G4" i="13"/>
  <c r="G6" i="13"/>
  <c r="K5" i="12"/>
  <c r="M75" i="3"/>
  <c r="B29" i="10"/>
  <c r="J26" i="3"/>
  <c r="J27" i="3" s="1"/>
  <c r="J74" i="3"/>
  <c r="L23" i="3"/>
  <c r="F7" i="13" s="1"/>
  <c r="M23" i="3"/>
  <c r="G7" i="13" s="1"/>
  <c r="K13" i="4"/>
  <c r="K16" i="4"/>
  <c r="F24" i="10" l="1"/>
  <c r="D5" i="13"/>
  <c r="I12" i="12"/>
  <c r="H13" i="12"/>
  <c r="C8" i="13"/>
  <c r="G6" i="12"/>
  <c r="I37" i="3"/>
  <c r="I34" i="3"/>
  <c r="I35" i="3" s="1"/>
  <c r="I46" i="3" s="1"/>
  <c r="I47" i="3" s="1"/>
  <c r="J30" i="3"/>
  <c r="J73" i="3" s="1"/>
  <c r="J76" i="3" s="1"/>
  <c r="C19" i="10"/>
  <c r="C21" i="10" s="1"/>
  <c r="C25" i="10" s="1"/>
  <c r="C29" i="10" s="1"/>
  <c r="I31" i="12"/>
  <c r="I33" i="3"/>
  <c r="H14" i="12" s="1"/>
  <c r="K21" i="4"/>
  <c r="K25" i="3" s="1"/>
  <c r="D22" i="10" s="1"/>
  <c r="K17" i="4"/>
  <c r="K19" i="4" s="1"/>
  <c r="K59" i="3" s="1"/>
  <c r="K61" i="3" s="1"/>
  <c r="L10" i="4"/>
  <c r="J31" i="3"/>
  <c r="J32" i="3" s="1"/>
  <c r="I56" i="3" l="1"/>
  <c r="I65" i="3" s="1"/>
  <c r="I66" i="3" s="1"/>
  <c r="H20" i="12"/>
  <c r="B13" i="13" s="1"/>
  <c r="H30" i="12"/>
  <c r="H19" i="12"/>
  <c r="B12" i="13" s="1"/>
  <c r="C9" i="13"/>
  <c r="G7" i="12"/>
  <c r="H15" i="12"/>
  <c r="B11" i="13" s="1"/>
  <c r="H6" i="12"/>
  <c r="I13" i="12"/>
  <c r="D8" i="13"/>
  <c r="K26" i="3"/>
  <c r="K27" i="3" s="1"/>
  <c r="K74" i="3"/>
  <c r="L13" i="4"/>
  <c r="L16" i="4"/>
  <c r="J34" i="3"/>
  <c r="J35" i="3" s="1"/>
  <c r="J46" i="3" s="1"/>
  <c r="J37" i="3"/>
  <c r="J33" i="3"/>
  <c r="I14" i="12" s="1"/>
  <c r="D19" i="10" l="1"/>
  <c r="D21" i="10" s="1"/>
  <c r="D25" i="10" s="1"/>
  <c r="D29" i="10" s="1"/>
  <c r="J31" i="12"/>
  <c r="E5" i="13"/>
  <c r="J12" i="12"/>
  <c r="K30" i="3"/>
  <c r="K73" i="3" s="1"/>
  <c r="K76" i="3" s="1"/>
  <c r="H7" i="12"/>
  <c r="I19" i="12"/>
  <c r="C12" i="13" s="1"/>
  <c r="D9" i="13"/>
  <c r="I67" i="3"/>
  <c r="H29" i="12"/>
  <c r="J47" i="3"/>
  <c r="L21" i="4"/>
  <c r="L25" i="3" s="1"/>
  <c r="E22" i="10" s="1"/>
  <c r="L17" i="4"/>
  <c r="L19" i="4" s="1"/>
  <c r="L59" i="3" s="1"/>
  <c r="L61" i="3" s="1"/>
  <c r="K31" i="3"/>
  <c r="K32" i="3" s="1"/>
  <c r="M10" i="4"/>
  <c r="J13" i="12" l="1"/>
  <c r="E8" i="13"/>
  <c r="I6" i="12"/>
  <c r="J56" i="3"/>
  <c r="J65" i="3" s="1"/>
  <c r="J66" i="3" s="1"/>
  <c r="I20" i="12"/>
  <c r="C13" i="13" s="1"/>
  <c r="I30" i="12"/>
  <c r="I15" i="12"/>
  <c r="C11" i="13" s="1"/>
  <c r="H28" i="12"/>
  <c r="H16" i="12"/>
  <c r="B10" i="13" s="1"/>
  <c r="L26" i="3"/>
  <c r="L27" i="3" s="1"/>
  <c r="L74" i="3"/>
  <c r="M13" i="4"/>
  <c r="M16" i="4"/>
  <c r="K34" i="3"/>
  <c r="K35" i="3" s="1"/>
  <c r="K46" i="3" s="1"/>
  <c r="K37" i="3"/>
  <c r="K33" i="3"/>
  <c r="J14" i="12" s="1"/>
  <c r="F5" i="13" l="1"/>
  <c r="K12" i="12"/>
  <c r="E19" i="10"/>
  <c r="E21" i="10" s="1"/>
  <c r="E25" i="10" s="1"/>
  <c r="E29" i="10" s="1"/>
  <c r="K31" i="12"/>
  <c r="I7" i="12"/>
  <c r="J19" i="12"/>
  <c r="D12" i="13" s="1"/>
  <c r="E9" i="13"/>
  <c r="J67" i="3"/>
  <c r="I29" i="12"/>
  <c r="L30" i="3"/>
  <c r="L73" i="3" s="1"/>
  <c r="L76" i="3" s="1"/>
  <c r="K47" i="3"/>
  <c r="L31" i="3"/>
  <c r="L32" i="3" s="1"/>
  <c r="M17" i="4"/>
  <c r="M19" i="4" s="1"/>
  <c r="M59" i="3" s="1"/>
  <c r="M61" i="3" s="1"/>
  <c r="M21" i="4"/>
  <c r="M25" i="3" s="1"/>
  <c r="F22" i="10" s="1"/>
  <c r="I28" i="12" l="1"/>
  <c r="I16" i="12"/>
  <c r="C10" i="13" s="1"/>
  <c r="K56" i="3"/>
  <c r="K65" i="3" s="1"/>
  <c r="K66" i="3" s="1"/>
  <c r="J20" i="12"/>
  <c r="D13" i="13" s="1"/>
  <c r="J30" i="12"/>
  <c r="J15" i="12"/>
  <c r="D11" i="13" s="1"/>
  <c r="F8" i="13"/>
  <c r="J6" i="12"/>
  <c r="K13" i="12"/>
  <c r="M26" i="3"/>
  <c r="M74" i="3"/>
  <c r="L37" i="3"/>
  <c r="L33" i="3"/>
  <c r="K14" i="12" s="1"/>
  <c r="L34" i="3"/>
  <c r="L35" i="3" s="1"/>
  <c r="L46" i="3" s="1"/>
  <c r="F19" i="10" l="1"/>
  <c r="F21" i="10" s="1"/>
  <c r="F25" i="10" s="1"/>
  <c r="L31" i="12"/>
  <c r="K67" i="3"/>
  <c r="J29" i="12"/>
  <c r="M30" i="3"/>
  <c r="M73" i="3" s="1"/>
  <c r="M76" i="3" s="1"/>
  <c r="J7" i="12"/>
  <c r="K19" i="12"/>
  <c r="E12" i="13" s="1"/>
  <c r="F9" i="13"/>
  <c r="M27" i="3"/>
  <c r="L47" i="3"/>
  <c r="J28" i="12" l="1"/>
  <c r="J16" i="12"/>
  <c r="D10" i="13" s="1"/>
  <c r="M31" i="3"/>
  <c r="M32" i="3" s="1"/>
  <c r="L56" i="3"/>
  <c r="L65" i="3" s="1"/>
  <c r="L66" i="3" s="1"/>
  <c r="K20" i="12"/>
  <c r="E13" i="13" s="1"/>
  <c r="K30" i="12"/>
  <c r="K15" i="12"/>
  <c r="E11" i="13" s="1"/>
  <c r="G5" i="13"/>
  <c r="L12" i="12"/>
  <c r="G25" i="10"/>
  <c r="F29" i="10"/>
  <c r="K18" i="10" s="1"/>
  <c r="M37" i="3"/>
  <c r="M33" i="3"/>
  <c r="L14" i="12" s="1"/>
  <c r="M34" i="3"/>
  <c r="M35" i="3" s="1"/>
  <c r="M46" i="3" s="1"/>
  <c r="L67" i="3" l="1"/>
  <c r="K29" i="12"/>
  <c r="G8" i="13"/>
  <c r="K6" i="12"/>
  <c r="L6" i="12"/>
  <c r="L13" i="12"/>
  <c r="K7" i="12"/>
  <c r="L7" i="12"/>
  <c r="L19" i="12"/>
  <c r="F12" i="13" s="1"/>
  <c r="G9" i="13"/>
  <c r="K19" i="10"/>
  <c r="G29" i="10"/>
  <c r="K20" i="10" s="1"/>
  <c r="K21" i="10" s="1"/>
  <c r="M47" i="3"/>
  <c r="L15" i="12" s="1"/>
  <c r="F11" i="13" s="1"/>
  <c r="K22" i="12" l="1"/>
  <c r="H22" i="12"/>
  <c r="I21" i="12"/>
  <c r="K21" i="12"/>
  <c r="L21" i="12"/>
  <c r="K24" i="10"/>
  <c r="K26" i="10" s="1"/>
  <c r="B21" i="12"/>
  <c r="C22" i="12"/>
  <c r="H21" i="12"/>
  <c r="D22" i="12"/>
  <c r="J21" i="12"/>
  <c r="B22" i="12"/>
  <c r="J22" i="12"/>
  <c r="E21" i="12"/>
  <c r="G21" i="12"/>
  <c r="G22" i="12"/>
  <c r="L22" i="12"/>
  <c r="I22" i="12"/>
  <c r="C21" i="12"/>
  <c r="E22" i="12"/>
  <c r="D21" i="12"/>
  <c r="F22" i="12"/>
  <c r="F21" i="12"/>
  <c r="M56" i="3"/>
  <c r="M65" i="3" s="1"/>
  <c r="M66" i="3" s="1"/>
  <c r="L20" i="12"/>
  <c r="F13" i="13" s="1"/>
  <c r="L30" i="12"/>
  <c r="K28" i="12"/>
  <c r="K16" i="12"/>
  <c r="E10" i="13" s="1"/>
  <c r="G32" i="10" l="1"/>
  <c r="B35" i="10"/>
  <c r="B34" i="10" s="1"/>
  <c r="B36" i="10" s="1"/>
  <c r="M67" i="3"/>
  <c r="L29" i="12"/>
  <c r="L28" i="12" l="1"/>
  <c r="L16" i="12"/>
  <c r="F10" i="13" s="1"/>
</calcChain>
</file>

<file path=xl/sharedStrings.xml><?xml version="1.0" encoding="utf-8"?>
<sst xmlns="http://schemas.openxmlformats.org/spreadsheetml/2006/main" count="782" uniqueCount="509">
  <si>
    <t>VARUN BEVERAGES LIMITED – RAW FINANCIAL DATA (SOURCE)</t>
  </si>
  <si>
    <t>Income Statement &amp; Balance Sheet | INR in Crores | Source: Capitaline Database</t>
  </si>
  <si>
    <t>ACTUAL PERIOD</t>
  </si>
  <si>
    <t>FY2020</t>
  </si>
  <si>
    <t>FY2021</t>
  </si>
  <si>
    <t>FY2022</t>
  </si>
  <si>
    <t>FY2023</t>
  </si>
  <si>
    <t>FY2024</t>
  </si>
  <si>
    <t>FY2025</t>
  </si>
  <si>
    <t>INCOME STATEMENT</t>
  </si>
  <si>
    <t>Year</t>
  </si>
  <si>
    <t>INCOME :</t>
  </si>
  <si>
    <t xml:space="preserve">  Sales Turnover</t>
  </si>
  <si>
    <t xml:space="preserve">  Excise Duty</t>
  </si>
  <si>
    <t xml:space="preserve">  Net Sales</t>
  </si>
  <si>
    <t xml:space="preserve">  Other Income</t>
  </si>
  <si>
    <t xml:space="preserve">  Stock Adjustments</t>
  </si>
  <si>
    <t>Total Income</t>
  </si>
  <si>
    <t>EXPENDITURE :</t>
  </si>
  <si>
    <t xml:space="preserve">  Raw Materials (Net)</t>
  </si>
  <si>
    <t xml:space="preserve">     Opening Stock of Raw Materials</t>
  </si>
  <si>
    <t xml:space="preserve">     Purchases of Raw Material</t>
  </si>
  <si>
    <t xml:space="preserve">     Purchase of Trading Goods</t>
  </si>
  <si>
    <t xml:space="preserve">     Direct Expense on Purchase/Adj</t>
  </si>
  <si>
    <t xml:space="preserve">     Closing Stock of Raw Materials</t>
  </si>
  <si>
    <t xml:space="preserve">     Adjustment on Amalgamation</t>
  </si>
  <si>
    <t xml:space="preserve">  Power &amp; Fuel Cost</t>
  </si>
  <si>
    <t xml:space="preserve">  Employee Cost</t>
  </si>
  <si>
    <t xml:space="preserve">     Salaries, Wages &amp; Bonus</t>
  </si>
  <si>
    <t xml:space="preserve">     Contribution to Funds</t>
  </si>
  <si>
    <t xml:space="preserve">     Staff Welfare Expenses</t>
  </si>
  <si>
    <t xml:space="preserve">     VRS Compensation</t>
  </si>
  <si>
    <t xml:space="preserve">     Gratuity Paid</t>
  </si>
  <si>
    <t xml:space="preserve">     Other Employee Cost</t>
  </si>
  <si>
    <t xml:space="preserve">  Other Manufacturing Expenses</t>
  </si>
  <si>
    <t xml:space="preserve">  Selling and Administration Expenses</t>
  </si>
  <si>
    <t xml:space="preserve">  Miscellaneous Expenses</t>
  </si>
  <si>
    <t xml:space="preserve">  Less: Pre-operative Exp Capitalised</t>
  </si>
  <si>
    <t>Total Expenditure</t>
  </si>
  <si>
    <t>Operating Profit (EBITDA proxy)</t>
  </si>
  <si>
    <t xml:space="preserve">  Less: Interest</t>
  </si>
  <si>
    <t>Gross Profit (EBIT proxy)</t>
  </si>
  <si>
    <t xml:space="preserve">  Less: Depreciation</t>
  </si>
  <si>
    <t>Profit Before Tax (PBT)</t>
  </si>
  <si>
    <t xml:space="preserve">  Tax</t>
  </si>
  <si>
    <t xml:space="preserve">  Fringe Benefit Tax</t>
  </si>
  <si>
    <t xml:space="preserve">  Deferred Tax</t>
  </si>
  <si>
    <t>Reported Net Profit</t>
  </si>
  <si>
    <t xml:space="preserve">  Extraordinary Items</t>
  </si>
  <si>
    <t>Adjusted Net Profit</t>
  </si>
  <si>
    <t xml:space="preserve">  Adjustments below Net Profit</t>
  </si>
  <si>
    <t xml:space="preserve">  P&amp;L Balance brought forward</t>
  </si>
  <si>
    <t xml:space="preserve">  Statutory Appropriations</t>
  </si>
  <si>
    <t xml:space="preserve">  Appropriations</t>
  </si>
  <si>
    <t>P&amp;L Balance Carried Down</t>
  </si>
  <si>
    <t xml:space="preserve">  Dividend</t>
  </si>
  <si>
    <t xml:space="preserve">  Preference Dividend</t>
  </si>
  <si>
    <t xml:space="preserve">  Equity Dividend %</t>
  </si>
  <si>
    <t xml:space="preserve">  Dividend Per Share (Rs)</t>
  </si>
  <si>
    <t>Earnings Per Share (Rs)</t>
  </si>
  <si>
    <t>EPS (Adjusted)</t>
  </si>
  <si>
    <t>Book Value Per Share</t>
  </si>
  <si>
    <t>Book Value (Adjusted)</t>
  </si>
  <si>
    <t>DPS (Adjusted)</t>
  </si>
  <si>
    <t>BALANCE SHEET</t>
  </si>
  <si>
    <t>EQUITY &amp; LIABILITIES</t>
  </si>
  <si>
    <t>Shareholders' Funds</t>
  </si>
  <si>
    <t xml:space="preserve">  Share Capital</t>
  </si>
  <si>
    <t xml:space="preserve">  Reserves and Surplus</t>
  </si>
  <si>
    <t>Total Shareholder's Fund</t>
  </si>
  <si>
    <t xml:space="preserve">  Share Application Money</t>
  </si>
  <si>
    <t>Non-Current Liabilities</t>
  </si>
  <si>
    <t xml:space="preserve">  Long-Term Borrowings</t>
  </si>
  <si>
    <t xml:space="preserve">  Lease Liabilities (NC)</t>
  </si>
  <si>
    <t xml:space="preserve">  Deferred Tax Liabilities (Net)</t>
  </si>
  <si>
    <t xml:space="preserve">    Deferred Tax Liability (Gross)</t>
  </si>
  <si>
    <t xml:space="preserve">    Deferred Tax Assets</t>
  </si>
  <si>
    <t xml:space="preserve">  Other Long-Term Liabilities</t>
  </si>
  <si>
    <t xml:space="preserve">  Long-Term Provisions</t>
  </si>
  <si>
    <t>Total Non-Current Liabilities</t>
  </si>
  <si>
    <t>Current Liabilities</t>
  </si>
  <si>
    <t xml:space="preserve">  Short-Term Borrowings</t>
  </si>
  <si>
    <t xml:space="preserve">  Lease Liabilities (Current)</t>
  </si>
  <si>
    <t xml:space="preserve">  Trade Payables</t>
  </si>
  <si>
    <t xml:space="preserve">  Other Current Liabilities</t>
  </si>
  <si>
    <t xml:space="preserve">  Short-Term Provisions</t>
  </si>
  <si>
    <t>Total Current Liabilities</t>
  </si>
  <si>
    <t>Other Equity &amp; Liabilities</t>
  </si>
  <si>
    <t>TOTAL EQUITY AND LIABILITIES</t>
  </si>
  <si>
    <t>ASSETS</t>
  </si>
  <si>
    <t>Non-Current Assets</t>
  </si>
  <si>
    <t xml:space="preserve">  Fixed Assets</t>
  </si>
  <si>
    <t xml:space="preserve">    Tangible Assets</t>
  </si>
  <si>
    <t xml:space="preserve">    Intangible Assets</t>
  </si>
  <si>
    <t xml:space="preserve">    Capital Work-in-Progress</t>
  </si>
  <si>
    <t xml:space="preserve">    Intangible Assets Under Dev</t>
  </si>
  <si>
    <t xml:space="preserve">    Right-of-Use Assets</t>
  </si>
  <si>
    <t xml:space="preserve">  Non-Current Investments</t>
  </si>
  <si>
    <t xml:space="preserve">  Deferred Tax Assets (Net)</t>
  </si>
  <si>
    <t xml:space="preserve">    Deferred Tax Assets (Gross)</t>
  </si>
  <si>
    <t xml:space="preserve">    Deferred Tax Liability</t>
  </si>
  <si>
    <t xml:space="preserve">  Long-Term Loans &amp; Advances</t>
  </si>
  <si>
    <t xml:space="preserve">  Other Non-Current Assets</t>
  </si>
  <si>
    <t>Total Non-Current Assets</t>
  </si>
  <si>
    <t>Current Assets</t>
  </si>
  <si>
    <t xml:space="preserve">  Current Investments</t>
  </si>
  <si>
    <t xml:space="preserve">  Inventories</t>
  </si>
  <si>
    <t xml:space="preserve">  Trade Receivables</t>
  </si>
  <si>
    <t xml:space="preserve">  Cash and Cash Equivalents</t>
  </si>
  <si>
    <t xml:space="preserve">  Short-Term Loans &amp; Advances</t>
  </si>
  <si>
    <t xml:space="preserve">  Other Current Assets</t>
  </si>
  <si>
    <t>Total Current Assets</t>
  </si>
  <si>
    <t>Other Assets</t>
  </si>
  <si>
    <t>TOTAL ASSETS</t>
  </si>
  <si>
    <t>VARUN BEVERAGES LIMITED – ASSUMPTIONS SHEET</t>
  </si>
  <si>
    <t xml:space="preserve">  P&amp;L ASSUMPTIONS</t>
  </si>
  <si>
    <t>FORECAST PERIOD</t>
  </si>
  <si>
    <t>Particulars</t>
  </si>
  <si>
    <t>FY2026E</t>
  </si>
  <si>
    <t>FY2027E</t>
  </si>
  <si>
    <t>FY2028E</t>
  </si>
  <si>
    <t>FY2029E</t>
  </si>
  <si>
    <t>FY2030E</t>
  </si>
  <si>
    <t>Net Sales / Revenue from Operations (INR Cr.)</t>
  </si>
  <si>
    <t xml:space="preserve">  Revenue Growth % (y-o-y)</t>
  </si>
  <si>
    <t>-</t>
  </si>
  <si>
    <t>Other Income (% of Net Sales)</t>
  </si>
  <si>
    <t>Raw Material Cost (% of Net Sales)</t>
  </si>
  <si>
    <t>Power &amp; Fuel Cost (% of Net Sales)</t>
  </si>
  <si>
    <t>Employee Cost (% of Net Sales)</t>
  </si>
  <si>
    <t>Other Mfg Expenses (% of Net Sales)</t>
  </si>
  <si>
    <t>Selling &amp; Admin Expenses (% of Net Sales)</t>
  </si>
  <si>
    <t>Miscellaneous Expenses (% of Net Sales)</t>
  </si>
  <si>
    <t>Depreciation Rate (% of Opening Gross Block)</t>
  </si>
  <si>
    <t>Interest / Finance Cost (% of Total Borrowings)</t>
  </si>
  <si>
    <t>Tax Rate (% of PBT)</t>
  </si>
  <si>
    <t>Dividend Payout Ratio (% of Reported Net Profit)</t>
  </si>
  <si>
    <t xml:space="preserve">  BALANCE SHEET ASSUMPTIONS (WORKING CAPITAL)</t>
  </si>
  <si>
    <t>Inventory Days (Inventories / Raw Mat Cost × 365)</t>
  </si>
  <si>
    <t>Debtor Days / Days Receivable (Trade Rec / Net Sales × 365)</t>
  </si>
  <si>
    <t>Creditor Days (Trade Payables / Raw Mat Cost × 365)</t>
  </si>
  <si>
    <t>Capex (% of Net Sales)</t>
  </si>
  <si>
    <t>Long-Term Borrowings (INR Cr.) – Scheduled Repayment</t>
  </si>
  <si>
    <t>Short-Term Borrowings (INR Cr.) – Scheduled Repayment</t>
  </si>
  <si>
    <t>VARUN BEVERAGES LIMITED – PROJECTED FINANCIAL STATEMENTS</t>
  </si>
  <si>
    <t>INR in Crores | Actual FY2020–FY2025 | Forecast FY2026–FY2030</t>
  </si>
  <si>
    <t xml:space="preserve">  INCOME STATEMENT</t>
  </si>
  <si>
    <t>Particulars (INR Cr.)</t>
  </si>
  <si>
    <t>Net Sales / Revenue from Operations</t>
  </si>
  <si>
    <t>EXPENDITURE</t>
  </si>
  <si>
    <t xml:space="preserve">  Raw Material Cost</t>
  </si>
  <si>
    <t xml:space="preserve">  Selling &amp; Administration Expenses</t>
  </si>
  <si>
    <t>Total Expenditure (ex-Int, ex-Dep)</t>
  </si>
  <si>
    <t>EBITDA (Operating Profit)</t>
  </si>
  <si>
    <t xml:space="preserve">  EBITDA Margin %</t>
  </si>
  <si>
    <t>EBIT (Gross Profit)</t>
  </si>
  <si>
    <t xml:space="preserve">  EBIT Margin %</t>
  </si>
  <si>
    <t xml:space="preserve">  Less: Interest / Finance Cost</t>
  </si>
  <si>
    <t xml:space="preserve">  Less: Tax</t>
  </si>
  <si>
    <t>Reported Net Profit (PAT)</t>
  </si>
  <si>
    <t xml:space="preserve">  PAT Margin %</t>
  </si>
  <si>
    <t xml:space="preserve">  Less: Dividend / Appropriations</t>
  </si>
  <si>
    <t>Retained Earnings (Added to Reserves)</t>
  </si>
  <si>
    <t>EPS – Reported (INR)</t>
  </si>
  <si>
    <t xml:space="preserve">  BALANCE SHEET</t>
  </si>
  <si>
    <t xml:space="preserve">  Reserves &amp; Surplus</t>
  </si>
  <si>
    <t>Total Shareholders' Equity</t>
  </si>
  <si>
    <t xml:space="preserve">  Other Long-Term Liabilities &amp; Provisions</t>
  </si>
  <si>
    <t xml:space="preserve">  Other Current Liabilities &amp; Provisions</t>
  </si>
  <si>
    <t>TOTAL EQUITY &amp; LIABILITIES</t>
  </si>
  <si>
    <t xml:space="preserve">  Net Fixed Assets (Gross Block + CWIP)</t>
  </si>
  <si>
    <t xml:space="preserve">  Non-Current Investments &amp; Other NC Assets</t>
  </si>
  <si>
    <t xml:space="preserve">  Other Current Assets (loans, advances, other)</t>
  </si>
  <si>
    <t xml:space="preserve">  Cash &amp; Cash Equivalents (BALANCING)</t>
  </si>
  <si>
    <t>VARUN BEVERAGES LIMITED – PPE SCHEDULE</t>
  </si>
  <si>
    <t>Property, Plant &amp; Equipment Roll-forward | INR in Crores</t>
  </si>
  <si>
    <t xml:space="preserve">  PPE ROLL-FORWARD SCHEDULE</t>
  </si>
  <si>
    <t>Revenue from Operations (linked from FS)</t>
  </si>
  <si>
    <t>Opening Gross Block</t>
  </si>
  <si>
    <t xml:space="preserve">  Add: Capex (linked from Assumptions)</t>
  </si>
  <si>
    <t xml:space="preserve">  Less: Disposals / Write-offs</t>
  </si>
  <si>
    <t>Closing Gross Block</t>
  </si>
  <si>
    <t>Opening Accumulated Depreciation</t>
  </si>
  <si>
    <t xml:space="preserve">  Add: Depreciation for the Year</t>
  </si>
  <si>
    <t>Closing Accumulated Depreciation</t>
  </si>
  <si>
    <t>Net PPE / Net Book Value (Closing)</t>
  </si>
  <si>
    <t xml:space="preserve">  Depreciation for the Year (same as above)</t>
  </si>
  <si>
    <t>Capex (% of Revenue) – Actual/Forecast</t>
  </si>
  <si>
    <t>Company Name</t>
  </si>
  <si>
    <t>Revenue Growth</t>
  </si>
  <si>
    <t>EBITDA Margin</t>
  </si>
  <si>
    <t>ITC Ltd</t>
  </si>
  <si>
    <t>Nestle India</t>
  </si>
  <si>
    <t>Britannia Industries</t>
  </si>
  <si>
    <t>BSE SENSEX</t>
  </si>
  <si>
    <t>Date</t>
  </si>
  <si>
    <t>SENSEX</t>
  </si>
  <si>
    <t>Return %</t>
  </si>
  <si>
    <t>Close Price</t>
  </si>
  <si>
    <t>VARUN BEVERAGES</t>
  </si>
  <si>
    <t>BETA : Market Risk</t>
  </si>
  <si>
    <t>10 Year Beta Computation</t>
  </si>
  <si>
    <t>Using SLOPE Function</t>
  </si>
  <si>
    <t>Performance VS Market</t>
  </si>
  <si>
    <t>Cipla Ltd.</t>
  </si>
  <si>
    <t>BSE Sensex</t>
  </si>
  <si>
    <t>Weighted Average Cost of Capital</t>
  </si>
  <si>
    <t>Capital Structure</t>
  </si>
  <si>
    <t>Total Debt</t>
  </si>
  <si>
    <t>Total Equity</t>
  </si>
  <si>
    <t>Total Mix</t>
  </si>
  <si>
    <t>% of debt</t>
  </si>
  <si>
    <t>% of Equity</t>
  </si>
  <si>
    <t>Debt to Equity</t>
  </si>
  <si>
    <t>Cost Of Equity</t>
  </si>
  <si>
    <t>Risk Free Rate(Rf)</t>
  </si>
  <si>
    <t>Beta</t>
  </si>
  <si>
    <t>Market Risk Premium</t>
  </si>
  <si>
    <t>Cost Of Debt</t>
  </si>
  <si>
    <t>Tax Rate</t>
  </si>
  <si>
    <t>Cost Of Debt after tax</t>
  </si>
  <si>
    <t>WACC</t>
  </si>
  <si>
    <t>Source</t>
  </si>
  <si>
    <t>Weight</t>
  </si>
  <si>
    <t>Cost</t>
  </si>
  <si>
    <t>Weighted Cost</t>
  </si>
  <si>
    <t>Debt</t>
  </si>
  <si>
    <t>Equity</t>
  </si>
  <si>
    <t>S. No</t>
  </si>
  <si>
    <t>Details of Assumptions/Data Point</t>
  </si>
  <si>
    <t>Assumed Figure</t>
  </si>
  <si>
    <t>Remarks</t>
  </si>
  <si>
    <t>URL</t>
  </si>
  <si>
    <t>Actual Financial Statement data for last 7 years</t>
  </si>
  <si>
    <t>Financial statements has been taken for the last seven years from capitaline database</t>
  </si>
  <si>
    <t>https://awsone.capitaline.com/index.html#/Company/Condensed/condensed?section=ProfitLoss</t>
  </si>
  <si>
    <t>Risk free Rate (Rf)</t>
  </si>
  <si>
    <t>10-year Indian Government bond yield used as proxy for risk-free rate</t>
  </si>
  <si>
    <t>https://in.investing.com/rates-bonds/india-10-year-bond-yield-historical-data?utm_source</t>
  </si>
  <si>
    <t>Market Risk (Rm)</t>
  </si>
  <si>
    <t>Average long-term return of Indian stock market (NIFTY 50) used as market return</t>
  </si>
  <si>
    <t>Market Risk Premium (Rp= Rm-Rf)</t>
  </si>
  <si>
    <t>Market risk premium calculated as difference between market return and risk-free rate</t>
  </si>
  <si>
    <t>Terminal Growth Rate</t>
  </si>
  <si>
    <t>Terminal growth rate assumed based on long-term GDP growth and pharmaceutical industry growth</t>
  </si>
  <si>
    <t>https://data.worldbank.org/indicator/NY.GDP.MKTP.KD.ZG</t>
  </si>
  <si>
    <t>Historical stock price data used for Beta calculation</t>
  </si>
  <si>
    <t>https://www.bseindia.com/</t>
  </si>
  <si>
    <t>NIFTY 50 data</t>
  </si>
  <si>
    <t>Market index data used for Beta calculation</t>
  </si>
  <si>
    <t>Current Market Price</t>
  </si>
  <si>
    <t>Latest market price from stock exchange</t>
  </si>
  <si>
    <t>https://awsone.capitaline.com/index.html#/Company/General/CompanyInfo</t>
  </si>
  <si>
    <t>Varun Beverages Annual Report 2025</t>
  </si>
  <si>
    <t>DCF Valuation</t>
  </si>
  <si>
    <t>Assumtions/Base</t>
  </si>
  <si>
    <t>Discount Rate (WACC)</t>
  </si>
  <si>
    <t>Perpetural Growth Rate</t>
  </si>
  <si>
    <t>Valuation Date</t>
  </si>
  <si>
    <t>Last Fiscal Year End</t>
  </si>
  <si>
    <t>Total Shares Outstanding (in Cr.)</t>
  </si>
  <si>
    <t>Debt (in Cr.)</t>
  </si>
  <si>
    <t>Cash (in Cr.)</t>
  </si>
  <si>
    <t>INR Cr.</t>
  </si>
  <si>
    <t>Discounted Cash Flows</t>
  </si>
  <si>
    <t>YEARS</t>
  </si>
  <si>
    <t>Growth</t>
  </si>
  <si>
    <t>INTRINSIC VALUE</t>
  </si>
  <si>
    <t>Terminal Value</t>
  </si>
  <si>
    <t>PV of Cash Flows</t>
  </si>
  <si>
    <t>EBIT</t>
  </si>
  <si>
    <t>Continuing Value</t>
  </si>
  <si>
    <t>PV of contuning value</t>
  </si>
  <si>
    <t>NOPAT</t>
  </si>
  <si>
    <t>Enterprise Value (in Cr)</t>
  </si>
  <si>
    <t>Add- Depreciation</t>
  </si>
  <si>
    <t>Less: Debt (in Cr)</t>
  </si>
  <si>
    <t>Less-Capex</t>
  </si>
  <si>
    <t>Add: Cash (in Cr)</t>
  </si>
  <si>
    <t>Less-Net Changes In WC</t>
  </si>
  <si>
    <t>Equity Value (in Cr)</t>
  </si>
  <si>
    <t>Free Cash Flows</t>
  </si>
  <si>
    <t>No. of share (in Cr.)</t>
  </si>
  <si>
    <t>Intrincsic value of share</t>
  </si>
  <si>
    <t>Current share price</t>
  </si>
  <si>
    <t>Discounting Factor</t>
  </si>
  <si>
    <t>No of shares</t>
  </si>
  <si>
    <t>PV of Free Cash Flow</t>
  </si>
  <si>
    <t>Market capitalization (in Cr)</t>
  </si>
  <si>
    <t>Market Value vs Fair Value</t>
  </si>
  <si>
    <t>CMP</t>
  </si>
  <si>
    <t>Upside Potential</t>
  </si>
  <si>
    <t>Fair Value</t>
  </si>
  <si>
    <t>Upside Potential %</t>
  </si>
  <si>
    <t>Nature</t>
  </si>
  <si>
    <t>Over valued</t>
  </si>
  <si>
    <t xml:space="preserve">Recommendation </t>
  </si>
  <si>
    <t>Sell / Avoid</t>
  </si>
  <si>
    <t>Cash Flow Statement</t>
  </si>
  <si>
    <t>2019
Actual</t>
  </si>
  <si>
    <t>2020
Actual</t>
  </si>
  <si>
    <t>2021
Actual</t>
  </si>
  <si>
    <t>2022
Actual</t>
  </si>
  <si>
    <t>2023
Actual</t>
  </si>
  <si>
    <t>2024
Actual</t>
  </si>
  <si>
    <t>2025
Actual</t>
  </si>
  <si>
    <t>2026
Forecast</t>
  </si>
  <si>
    <t>2027
Forecast</t>
  </si>
  <si>
    <t>2028
Forecast</t>
  </si>
  <si>
    <t>2029
Forecast</t>
  </si>
  <si>
    <t>2030
Forecast</t>
  </si>
  <si>
    <t>Profit before tax</t>
  </si>
  <si>
    <t>Add: Depreciation</t>
  </si>
  <si>
    <t>Add: Finance Cost</t>
  </si>
  <si>
    <t>Cash Flow before Working Capital Changes</t>
  </si>
  <si>
    <t>Changes in working capital</t>
  </si>
  <si>
    <t>Inventories</t>
  </si>
  <si>
    <t>Trade Receivable</t>
  </si>
  <si>
    <t>Other current assets</t>
  </si>
  <si>
    <t>Total Current Assets(Operating)</t>
  </si>
  <si>
    <t>Trade payable</t>
  </si>
  <si>
    <t>Other current liabilities</t>
  </si>
  <si>
    <t>Total Current Liabalities(Operating)</t>
  </si>
  <si>
    <t>Net Changes in working capital</t>
  </si>
  <si>
    <t>RELATIVE VALUATION</t>
  </si>
  <si>
    <t>Company</t>
  </si>
  <si>
    <t>Market Data</t>
  </si>
  <si>
    <t>Financial Data</t>
  </si>
  <si>
    <t>Valuation Ratios</t>
  </si>
  <si>
    <t>Price
(₹)</t>
  </si>
  <si>
    <t>No. of Shares
(in Cr.)</t>
  </si>
  <si>
    <t>Market Cap
(in Cr)</t>
  </si>
  <si>
    <t>Enterprise Value
(in Cr)</t>
  </si>
  <si>
    <t>Sales
(in Cr)</t>
  </si>
  <si>
    <t>EBITDA
(in Cr)</t>
  </si>
  <si>
    <t>EBIT
(in Cr)</t>
  </si>
  <si>
    <t>EPS (₹)</t>
  </si>
  <si>
    <t>P/E</t>
  </si>
  <si>
    <t>EV/Sales</t>
  </si>
  <si>
    <t>EV/EBITDA</t>
  </si>
  <si>
    <t>EV/EBIT</t>
  </si>
  <si>
    <t>Net Debt
(in Cr)</t>
  </si>
  <si>
    <t>D&amp;A
(in Cr)</t>
  </si>
  <si>
    <t>Average Data</t>
  </si>
  <si>
    <t>Median Data</t>
  </si>
  <si>
    <t>RATIOS</t>
  </si>
  <si>
    <t>Operating Income (%)</t>
  </si>
  <si>
    <t>EBITDA (%)</t>
  </si>
  <si>
    <t>Adj PAT (%)</t>
  </si>
  <si>
    <t>Adj EPS (%)</t>
  </si>
  <si>
    <t>Profitability</t>
  </si>
  <si>
    <t>EBITDA Margin (%)</t>
  </si>
  <si>
    <t>Operating Income</t>
  </si>
  <si>
    <t>EBIT Margin (%)</t>
  </si>
  <si>
    <t>PAT</t>
  </si>
  <si>
    <t>PAT Margin (%)</t>
  </si>
  <si>
    <t>ROE (%)</t>
  </si>
  <si>
    <t>ROCE (%)</t>
  </si>
  <si>
    <t>Valuations</t>
  </si>
  <si>
    <t>Price-earnings</t>
  </si>
  <si>
    <t>Price-book</t>
  </si>
  <si>
    <t xml:space="preserve">EV/EBITDA </t>
  </si>
  <si>
    <t>B/S ratios</t>
  </si>
  <si>
    <t>Inventory days</t>
  </si>
  <si>
    <t>Creditor days</t>
  </si>
  <si>
    <t>Debtor days</t>
  </si>
  <si>
    <t>Asset turnover</t>
  </si>
  <si>
    <t>Current ratio</t>
  </si>
  <si>
    <t>Debt/equity</t>
  </si>
  <si>
    <t>Interest Coverage ratio</t>
  </si>
  <si>
    <t>KEY FORECAST</t>
  </si>
  <si>
    <t>EBIT Growth</t>
  </si>
  <si>
    <t>EBITDA</t>
  </si>
  <si>
    <t>Net Income</t>
  </si>
  <si>
    <t>EPS</t>
  </si>
  <si>
    <t>PE</t>
  </si>
  <si>
    <t>P/BV</t>
  </si>
  <si>
    <t>EBITDA
Margin %</t>
  </si>
  <si>
    <t>Return on
Equity %</t>
  </si>
  <si>
    <t>Return on
Capital %</t>
  </si>
  <si>
    <t>Current
Ratio</t>
  </si>
  <si>
    <t>Debt/Equity
Ratio</t>
  </si>
  <si>
    <t>Interest
Coverage</t>
  </si>
  <si>
    <t>Asset
Turnover</t>
  </si>
  <si>
    <t>N/A</t>
  </si>
  <si>
    <t>Hindustan Unilever</t>
  </si>
  <si>
    <t>Revenue 
(INR Cr.)</t>
  </si>
  <si>
    <t>VARUN BEVERAGES LIMITED — COMPANY OVERVIEW</t>
  </si>
  <si>
    <t>ABOUT THE COMPANY</t>
  </si>
  <si>
    <t>Business Segments of Varun Beverages Limited</t>
  </si>
  <si>
    <t>Varun Beverages Limited</t>
  </si>
  <si>
    <t>Segment</t>
  </si>
  <si>
    <t>Key Brands / Products</t>
  </si>
  <si>
    <t>Business Description</t>
  </si>
  <si>
    <t>Listing</t>
  </si>
  <si>
    <t>NSE / BSE</t>
  </si>
  <si>
    <t>Carbonated Soft Drinks (CSD)</t>
  </si>
  <si>
    <t>Pepsi, Mountain Dew, 7UP, Mirinda, Slice, Sting</t>
  </si>
  <si>
    <t>Largest revenue segment. VBL manufactures, distributes and sells PepsiCo CSD brands across licensed territories. CSD drives volume and forms the core franchise.</t>
  </si>
  <si>
    <t>Sector</t>
  </si>
  <si>
    <t>Consumer Staples – Beverages</t>
  </si>
  <si>
    <t>Energy Drinks</t>
  </si>
  <si>
    <t>Sting Energy Drink</t>
  </si>
  <si>
    <t>Fastest-growing segment. Sting has achieved mass-market penetration at an accessible price point, becoming a significant volume &amp; margin driver for VBL.</t>
  </si>
  <si>
    <t>Industry</t>
  </si>
  <si>
    <t>Non-Alcoholic Beverages (FMCG)</t>
  </si>
  <si>
    <t>Packaged Drinking Water</t>
  </si>
  <si>
    <t>Aquafina</t>
  </si>
  <si>
    <t>High-volume, low-margin segment providing distribution reach and franchise complementarity. Growing with urbanisation and health trends.</t>
  </si>
  <si>
    <t>Founded</t>
  </si>
  <si>
    <t>Juices &amp; Dairy</t>
  </si>
  <si>
    <t>Tropicana, Tropicana Juices, Lipton Iced Tea</t>
  </si>
  <si>
    <t>Health &amp; wellness-oriented segment catering to urban, premium consumers. Supports premiumisation strategy and portfolio diversification.</t>
  </si>
  <si>
    <t>Headquarters</t>
  </si>
  <si>
    <t>Gurugram, Haryana, India</t>
  </si>
  <si>
    <t>Sports &amp; Functional</t>
  </si>
  <si>
    <t>Gatorade, Other Functional Beverages</t>
  </si>
  <si>
    <t>Niche but growing category with high realization per unit. Targets fitness-oriented consumers in gyms, sports clubs and modern trade.</t>
  </si>
  <si>
    <t>Promoter / Parent</t>
  </si>
  <si>
    <t>Ravi Jaipuria Group (RJ Corp)</t>
  </si>
  <si>
    <t>International Operations</t>
  </si>
  <si>
    <t>Full PepsiCo portfolio across 7 countries</t>
  </si>
  <si>
    <t>Zambia, Zimbabwe, Sri Lanka, Nepal, Morocco, South Africa, Lesotho &amp; Mozambique. International diversification provides revenue stability and growth optionality.</t>
  </si>
  <si>
    <t>Market Cap</t>
  </si>
  <si>
    <t>~Rs. 1.15 Lakh Crore (Apr 2026)</t>
  </si>
  <si>
    <t>PepsiCo Franchisee</t>
  </si>
  <si>
    <t>Largest bottler of PepsiCo in India</t>
  </si>
  <si>
    <t>Geographies</t>
  </si>
  <si>
    <t>India, Sri Lanka, Nepal, Zambia, Zimbabwe,
Morocco, South Africa, Lesotho, Mozambique</t>
  </si>
  <si>
    <t>Growth Drivers – Varun Beverages Limited</t>
  </si>
  <si>
    <t>Key Products</t>
  </si>
  <si>
    <t>Pepsi, Mountain Dew, 7UP, Mirinda, Tropicana,
Gatorade, Aquafina, Sting Energy, Lipton</t>
  </si>
  <si>
    <t>Growth Driver</t>
  </si>
  <si>
    <t>Explanation</t>
  </si>
  <si>
    <t>Valuation Significance</t>
  </si>
  <si>
    <t>India Beverages Market Underpenetration</t>
  </si>
  <si>
    <t>Per-capita beverage consumption in India is &lt;10% of developed markets. Rising incomes, urbanisation and heat intensity drive structurally higher volumes.</t>
  </si>
  <si>
    <t>Supports double-digit revenue growth assumptions over the medium term.</t>
  </si>
  <si>
    <t>Sting Energy Drink Expansion</t>
  </si>
  <si>
    <t>Sting priced at ₹20/₹30 has created mass-market energy drink adoption. Volume CAGR of 40%+ since launch, now a top-3 SKU for VBL.</t>
  </si>
  <si>
    <t>Margin-accretive growth; higher realization and brand equity uplift.</t>
  </si>
  <si>
    <t>Varun Beverages Limited (VBL) is PepsiCo's largest franchisee bottler outside the USA, with a dominant market position across 22 Indian states and 7 international territories. VBL's structural growth is driven by India's under-penetrated beverages market, premiumisation of product mix, rapid rural distribution expansion, and addition of high-growth energy drinks (Sting). Strong brand backing from PepsiCo, improving EBITDA margins, and deleveraging balance sheet position VBL as a compounding growth story. Key risks include commodity inflation (PET, sugar), seasonal demand concentration, and forex volatility in international markets.</t>
  </si>
  <si>
    <t>Rural Distribution Deepening</t>
  </si>
  <si>
    <t>VBL has invested heavily in direct coverage routes, cooler placements and last-mile infrastructure, unlocking a large and underserved rural population.</t>
  </si>
  <si>
    <t>Drives volume growth and increases competitive moat via distribution density.</t>
  </si>
  <si>
    <t>Premiumisation &amp; Portfolio Width</t>
  </si>
  <si>
    <t>Increasing Tropicana, Gatorade and value-added health beverage contribution improves revenue per case and reduces CSD cyclicality.</t>
  </si>
  <si>
    <t>Supports margin expansion and revenue quality improvement over time.</t>
  </si>
  <si>
    <t>International Market Scale-up</t>
  </si>
  <si>
    <t>New territories in South Africa, Morocco and Mozambique are in investment phase. Scale benefits expected over 3–5 years as franchisee network matures.</t>
  </si>
  <si>
    <t>Provides revenue diversification and reduces India-season concentration risk.</t>
  </si>
  <si>
    <t>Key Financial Highlights (FY2025)</t>
  </si>
  <si>
    <t>Capacity Expansion &amp; Operating Leverage</t>
  </si>
  <si>
    <t>VBL continues to commission new greenfield and brownfield plants ahead of demand, enabling volume absorption at lower incremental cost.</t>
  </si>
  <si>
    <t>EBITDA margin improvement as fixed costs spread over higher volumes.</t>
  </si>
  <si>
    <t>Revenue (INR Cr.)</t>
  </si>
  <si>
    <t>14,557</t>
  </si>
  <si>
    <t>Franchise Relationship with PepsiCo</t>
  </si>
  <si>
    <t>Exclusive long-term franchise agreements across territories provide revenue visibility and entry barrier. PepsiCo brand investment benefits VBL directly.</t>
  </si>
  <si>
    <t>Reduces competitive risk and supports brand-driven pricing power.</t>
  </si>
  <si>
    <t>EBITDA (INR Cr.)</t>
  </si>
  <si>
    <t>4,279</t>
  </si>
  <si>
    <t>Brand Loyalty &amp; Summer Seasonality Buffer</t>
  </si>
  <si>
    <t>Strong PepsiCo brand recall across price points ensures repeat purchase. Large summer season backlog creates predictable revenue visibility.</t>
  </si>
  <si>
    <t>Reduces earnings volatility and supports investor confidence in forecasts.</t>
  </si>
  <si>
    <t>29.4%</t>
  </si>
  <si>
    <t>PAT (INR Cr.)</t>
  </si>
  <si>
    <t>2,677</t>
  </si>
  <si>
    <t>PAT Margin</t>
  </si>
  <si>
    <t>18.4%</t>
  </si>
  <si>
    <t>Economic Moat — Varun Beverages Limited</t>
  </si>
  <si>
    <t>EPS (INR)</t>
  </si>
  <si>
    <t>7.91</t>
  </si>
  <si>
    <t>Varun Beverages Limited possesses a durable economic moat rooted in exclusive PepsiCo franchise rights across high-population territories, a capital-intensive distribution infrastructure that is difficult and costly for competitors to replicate, and deep brand equity derived from PepsiCo's global portfolio. VBL's integrated supply chain – from concentrate sourcing through bottling, distribution and in-store activation – creates significant operational barriers to entry. The company's scale advantages in raw material procurement (PET resin, sugar, concentrate) further widen cost efficiencies relative to smaller regional players. The franchise relationship with PepsiCo Inc. acts as a regulatory and competitive moat, as new entrants cannot access the same brand portfolio in licensed geographies. Sting Energy's mass-market adoption at a disruptive price point reinforces VBL's ability to create new demand categories within its existing distribution architecture, compounding the competitive advantage of scale and brand.</t>
  </si>
  <si>
    <t>ROCE</t>
  </si>
  <si>
    <t>28.5%</t>
  </si>
  <si>
    <t>ROE</t>
  </si>
  <si>
    <t>16.8%</t>
  </si>
  <si>
    <t>Net Debt / EBITDA</t>
  </si>
  <si>
    <t>0.09x</t>
  </si>
  <si>
    <t>Varun Beverages Stock Data</t>
  </si>
  <si>
    <t>BETA</t>
  </si>
  <si>
    <t>HUL</t>
  </si>
  <si>
    <t>PEER COMPARISON</t>
  </si>
  <si>
    <t>Row Labels</t>
  </si>
  <si>
    <t>Grand Total</t>
  </si>
  <si>
    <t>Column Labels</t>
  </si>
  <si>
    <t>Sum of Revenue 
(INR Cr.)</t>
  </si>
  <si>
    <t>Sum of EBITDA
Margin %</t>
  </si>
  <si>
    <t>Sum of Return on
Equity %</t>
  </si>
  <si>
    <t>Sum of Current
Ratio</t>
  </si>
  <si>
    <t>Sum of Debt/Equity
Ratio</t>
  </si>
  <si>
    <t>Count of Interest
Coverage</t>
  </si>
  <si>
    <t>Sum of Asset
Turnover</t>
  </si>
  <si>
    <t>Sum of Return on
Capital %</t>
  </si>
  <si>
    <t>Details for Sum of Revenue 
(INR Cr.) - Year: 2022, Company Name: Nestle India</t>
  </si>
  <si>
    <t>DASHBOARD</t>
  </si>
  <si>
    <t>WACC →</t>
  </si>
  <si>
    <t>g ↓</t>
  </si>
  <si>
    <t>SENSTIVITY ANALSYSIS</t>
  </si>
  <si>
    <t>Select Case</t>
  </si>
  <si>
    <t>Case 2</t>
  </si>
  <si>
    <t>Case 1</t>
  </si>
  <si>
    <t>Optimistic Case</t>
  </si>
  <si>
    <t>Base Case</t>
  </si>
  <si>
    <t>Case 3</t>
  </si>
  <si>
    <t>Worst Case</t>
  </si>
  <si>
    <t>Scenarios:</t>
  </si>
  <si>
    <t>Y-o-Y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</si>
</sst>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0.00;\(#,##0.00\);\-"/>
    <numFmt numFmtId="165" formatCode="0.00%;\(0.00%\);\-"/>
    <numFmt numFmtId="166" formatCode="#,##0.0"/>
    <numFmt numFmtId="167" formatCode="0.0%"/>
    <numFmt numFmtId="168" formatCode="0.000%"/>
    <numFmt numFmtId="169" formatCode="0.00000000"/>
    <numFmt numFmtId="170" formatCode="_(* #,##0.0_);_(* \(#,##0.0\);_(* &quot;-&quot;?_);@_)"/>
    <numFmt numFmtId="171" formatCode="_(* #,##0_);_(* \(#,##0\);_(* &quot;-&quot;?_);@_)"/>
    <numFmt numFmtId="172" formatCode="0.0"/>
    <numFmt numFmtId="173" formatCode="_ * #,##0.0_ ;_ * \-#,##0.0_ ;_ * &quot;-&quot;??_ ;_ @_ "/>
  </numFmts>
  <fonts count="60" x14ac:knownFonts="1">
    <font>
      <sz val="11"/>
      <color theme="1"/>
      <name val="Calibri"/>
      <family val="2"/>
      <charset val="1"/>
    </font>
    <font>
      <sz val="11"/>
      <color theme="1"/>
      <name val="Calibri"/>
      <family val="2"/>
      <scheme val="minor"/>
    </font>
    <font>
      <sz val="11"/>
      <color theme="1"/>
      <name val="Calibri"/>
      <family val="2"/>
      <scheme val="minor"/>
    </font>
    <font>
      <sz val="10"/>
      <name val="Arial"/>
      <family val="2"/>
    </font>
    <font>
      <b/>
      <sz val="13"/>
      <color rgb="FFFFFFFF"/>
      <name val="Arial"/>
      <family val="2"/>
    </font>
    <font>
      <b/>
      <sz val="9"/>
      <color rgb="FFFFFFFF"/>
      <name val="Arial"/>
      <family val="2"/>
    </font>
    <font>
      <b/>
      <sz val="10"/>
      <color rgb="FF000000"/>
      <name val="Arial"/>
      <family val="2"/>
    </font>
    <font>
      <b/>
      <sz val="10"/>
      <name val="Arial"/>
      <family val="2"/>
    </font>
    <font>
      <b/>
      <sz val="10"/>
      <color rgb="FFFFFFFF"/>
      <name val="Arial"/>
      <family val="2"/>
    </font>
    <font>
      <sz val="10"/>
      <color rgb="FF000000"/>
      <name val="Arial"/>
      <family val="2"/>
    </font>
    <font>
      <b/>
      <sz val="11"/>
      <color rgb="FFFFFFFF"/>
      <name val="Arial"/>
      <family val="2"/>
    </font>
    <font>
      <sz val="10"/>
      <color rgb="FF008000"/>
      <name val="Arial"/>
      <family val="2"/>
    </font>
    <font>
      <i/>
      <sz val="10"/>
      <color rgb="FF000000"/>
      <name val="Arial"/>
      <family val="2"/>
    </font>
    <font>
      <sz val="11"/>
      <color theme="1"/>
      <name val="Calibri"/>
      <family val="2"/>
      <charset val="1"/>
    </font>
    <font>
      <b/>
      <sz val="11"/>
      <color theme="0"/>
      <name val="Calibri"/>
      <family val="2"/>
      <scheme val="minor"/>
    </font>
    <font>
      <b/>
      <sz val="11"/>
      <color theme="1"/>
      <name val="Calibri"/>
      <family val="2"/>
      <scheme val="minor"/>
    </font>
    <font>
      <b/>
      <sz val="12"/>
      <color theme="0"/>
      <name val="Calibri"/>
      <family val="2"/>
      <scheme val="minor"/>
    </font>
    <font>
      <b/>
      <sz val="12"/>
      <color theme="1"/>
      <name val="Calibri"/>
      <family val="2"/>
      <scheme val="minor"/>
    </font>
    <font>
      <u/>
      <sz val="11"/>
      <color theme="10"/>
      <name val="Calibri"/>
      <family val="2"/>
      <charset val="1"/>
    </font>
    <font>
      <b/>
      <sz val="16"/>
      <color theme="0"/>
      <name val="Arial"/>
      <family val="2"/>
    </font>
    <font>
      <b/>
      <sz val="11"/>
      <color theme="0"/>
      <name val="Calibri"/>
      <family val="2"/>
    </font>
    <font>
      <sz val="11"/>
      <color theme="0"/>
      <name val="Calibri"/>
      <family val="2"/>
      <charset val="1"/>
    </font>
    <font>
      <b/>
      <sz val="12"/>
      <color theme="1"/>
      <name val="Calibri"/>
      <family val="2"/>
    </font>
    <font>
      <sz val="12"/>
      <color theme="1"/>
      <name val="Calibri"/>
      <family val="2"/>
      <charset val="1"/>
    </font>
    <font>
      <u/>
      <sz val="12"/>
      <color theme="10"/>
      <name val="Calibri"/>
      <family val="2"/>
      <charset val="1"/>
    </font>
    <font>
      <sz val="12"/>
      <color rgb="FF000000"/>
      <name val="Roboto"/>
    </font>
    <font>
      <b/>
      <sz val="26"/>
      <color theme="0"/>
      <name val="Calibri"/>
      <family val="2"/>
    </font>
    <font>
      <b/>
      <sz val="16"/>
      <color theme="0"/>
      <name val="Calibri"/>
      <family val="2"/>
    </font>
    <font>
      <b/>
      <sz val="11"/>
      <color theme="1"/>
      <name val="Calibri"/>
      <family val="2"/>
    </font>
    <font>
      <b/>
      <sz val="11"/>
      <color theme="0"/>
      <name val="Arial"/>
      <family val="2"/>
    </font>
    <font>
      <b/>
      <sz val="11"/>
      <color theme="1"/>
      <name val="Arial"/>
      <family val="2"/>
    </font>
    <font>
      <sz val="9"/>
      <color theme="1"/>
      <name val="Arial"/>
      <family val="2"/>
    </font>
    <font>
      <b/>
      <sz val="16"/>
      <color theme="0"/>
      <name val="Calibri"/>
      <family val="2"/>
      <scheme val="minor"/>
    </font>
    <font>
      <b/>
      <sz val="14"/>
      <color rgb="FFFFFFFF"/>
      <name val="Arial"/>
      <family val="2"/>
    </font>
    <font>
      <sz val="11"/>
      <name val="Calibri"/>
      <family val="2"/>
      <charset val="1"/>
    </font>
    <font>
      <b/>
      <sz val="20"/>
      <color theme="0"/>
      <name val="Calibri"/>
      <family val="2"/>
      <scheme val="minor"/>
    </font>
    <font>
      <b/>
      <sz val="11"/>
      <color rgb="FFFFFFFF"/>
      <name val="Calibri"/>
      <family val="2"/>
    </font>
    <font>
      <b/>
      <sz val="8"/>
      <color theme="0"/>
      <name val="Arial"/>
      <family val="2"/>
    </font>
    <font>
      <b/>
      <sz val="14"/>
      <color rgb="FFFFFFFF"/>
      <name val="Calibri"/>
      <family val="2"/>
    </font>
    <font>
      <b/>
      <sz val="10"/>
      <color rgb="FF000000"/>
      <name val="Calibri"/>
      <family val="2"/>
    </font>
    <font>
      <sz val="10"/>
      <color rgb="FF000000"/>
      <name val="Calibri"/>
      <family val="2"/>
    </font>
    <font>
      <b/>
      <sz val="10"/>
      <color rgb="FFFFFFFF"/>
      <name val="Calibri"/>
      <family val="2"/>
    </font>
    <font>
      <b/>
      <sz val="9"/>
      <color rgb="FF000000"/>
      <name val="Calibri"/>
      <family val="2"/>
    </font>
    <font>
      <sz val="9"/>
      <color rgb="FF000000"/>
      <name val="Calibri"/>
      <family val="2"/>
    </font>
    <font>
      <b/>
      <sz val="9"/>
      <color rgb="FFFFFFFF"/>
      <name val="Calibri"/>
      <family val="2"/>
    </font>
    <font>
      <sz val="10"/>
      <name val="Calibri"/>
      <family val="2"/>
    </font>
    <font>
      <sz val="11"/>
      <color theme="0"/>
      <name val="Calibri"/>
      <family val="2"/>
    </font>
    <font>
      <b/>
      <sz val="18"/>
      <color theme="0"/>
      <name val="Calibri"/>
      <family val="2"/>
    </font>
    <font>
      <i/>
      <sz val="10"/>
      <name val="Arial"/>
      <family val="2"/>
    </font>
    <font>
      <b/>
      <sz val="9"/>
      <name val="Calibri"/>
      <family val="2"/>
    </font>
    <font>
      <b/>
      <sz val="13"/>
      <color theme="0"/>
      <name val="Arial"/>
      <family val="2"/>
    </font>
    <font>
      <b/>
      <sz val="9"/>
      <color theme="0"/>
      <name val="Arial"/>
      <family val="2"/>
    </font>
    <font>
      <b/>
      <sz val="10"/>
      <color theme="0"/>
      <name val="Arial"/>
      <family val="2"/>
    </font>
    <font>
      <b/>
      <sz val="12"/>
      <color theme="0"/>
      <name val="Calibri"/>
      <family val="2"/>
    </font>
    <font>
      <b/>
      <sz val="20"/>
      <color theme="0"/>
      <name val="Calibri"/>
      <family val="2"/>
    </font>
    <font>
      <b/>
      <sz val="11"/>
      <color theme="1"/>
      <name val="Calibri"/>
      <family val="2"/>
      <charset val="1"/>
    </font>
    <font>
      <b/>
      <sz val="24"/>
      <color theme="0"/>
      <name val="Calibri"/>
      <family val="2"/>
    </font>
    <font>
      <b/>
      <sz val="10"/>
      <color rgb="FF1F3864"/>
      <name val="Calibri"/>
      <family val="2"/>
    </font>
    <font>
      <sz val="12"/>
      <color theme="1"/>
      <name val="Calibri"/>
      <family val="2"/>
      <scheme val="minor"/>
    </font>
    <font>
      <sz val="20"/>
      <color theme="0"/>
      <name val="Calibri"/>
      <family val="2"/>
      <scheme val="minor"/>
    </font>
  </fonts>
  <fills count="36">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DEEAF1"/>
        <bgColor rgb="FFE2EFDA"/>
      </patternFill>
    </fill>
    <fill>
      <patternFill patternType="solid">
        <fgColor rgb="FFBDD7EE"/>
        <bgColor rgb="FF99CCFF"/>
      </patternFill>
    </fill>
    <fill>
      <patternFill patternType="solid">
        <fgColor rgb="FFE2EFDA"/>
        <bgColor rgb="FFDEEAF1"/>
      </patternFill>
    </fill>
    <fill>
      <patternFill patternType="solid">
        <fgColor theme="4" tint="-0.49998474074526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0"/>
        <bgColor indexed="64"/>
      </patternFill>
    </fill>
    <fill>
      <patternFill patternType="solid">
        <fgColor rgb="FF4472C4"/>
        <bgColor rgb="FF2F5496"/>
      </patternFill>
    </fill>
    <fill>
      <patternFill patternType="solid">
        <fgColor theme="8" tint="-0.249977111117893"/>
        <bgColor indexed="64"/>
      </patternFill>
    </fill>
    <fill>
      <patternFill patternType="solid">
        <fgColor theme="3" tint="-0.249977111117893"/>
        <bgColor indexed="64"/>
      </patternFill>
    </fill>
    <fill>
      <patternFill patternType="solid">
        <fgColor theme="9" tint="0.79998168889431442"/>
        <bgColor indexed="64"/>
      </patternFill>
    </fill>
    <fill>
      <patternFill patternType="solid">
        <fgColor theme="8" tint="-0.249977111117893"/>
        <bgColor rgb="FF333333"/>
      </patternFill>
    </fill>
    <fill>
      <patternFill patternType="solid">
        <fgColor theme="8" tint="-0.249977111117893"/>
        <bgColor rgb="FF1F3864"/>
      </patternFill>
    </fill>
    <fill>
      <patternFill patternType="solid">
        <fgColor rgb="FF2E6B8A"/>
        <bgColor rgb="FF2E75B6"/>
      </patternFill>
    </fill>
    <fill>
      <patternFill patternType="solid">
        <fgColor rgb="FFE8846A"/>
        <bgColor rgb="FFE59866"/>
      </patternFill>
    </fill>
    <fill>
      <patternFill patternType="solid">
        <fgColor rgb="FFFDEBD0"/>
        <bgColor rgb="FFFAE5D8"/>
      </patternFill>
    </fill>
    <fill>
      <patternFill patternType="solid">
        <fgColor rgb="FFE59866"/>
        <bgColor rgb="FFE8846A"/>
      </patternFill>
    </fill>
    <fill>
      <patternFill patternType="solid">
        <fgColor rgb="FFD6EAF8"/>
        <bgColor rgb="FFDEEAF1"/>
      </patternFill>
    </fill>
    <fill>
      <patternFill patternType="solid">
        <fgColor rgb="FFFAE5D8"/>
        <bgColor rgb="FFFDEBD0"/>
      </patternFill>
    </fill>
    <fill>
      <patternFill patternType="solid">
        <fgColor rgb="FFAED6F1"/>
        <bgColor rgb="FFBDD7EE"/>
      </patternFill>
    </fill>
    <fill>
      <patternFill patternType="solid">
        <fgColor rgb="FFE8F4F8"/>
        <bgColor rgb="FFF2F2F2"/>
      </patternFill>
    </fill>
    <fill>
      <patternFill patternType="solid">
        <fgColor rgb="FFFEF9E7"/>
        <bgColor rgb="FFFEF0E7"/>
      </patternFill>
    </fill>
    <fill>
      <patternFill patternType="solid">
        <fgColor rgb="FFFEF0E7"/>
        <bgColor rgb="FFFEF9E7"/>
      </patternFill>
    </fill>
    <fill>
      <patternFill patternType="solid">
        <fgColor rgb="FFF0E8F8"/>
        <bgColor rgb="FFF2F2F2"/>
      </patternFill>
    </fill>
    <fill>
      <patternFill patternType="solid">
        <fgColor theme="8" tint="-0.499984740745262"/>
        <bgColor indexed="64"/>
      </patternFill>
    </fill>
    <fill>
      <patternFill patternType="solid">
        <fgColor theme="6" tint="0.59999389629810485"/>
        <bgColor rgb="FFDEEAF1"/>
      </patternFill>
    </fill>
    <fill>
      <patternFill patternType="solid">
        <fgColor theme="6" tint="0.59999389629810485"/>
        <bgColor rgb="FFFFFF00"/>
      </patternFill>
    </fill>
    <fill>
      <patternFill patternType="solid">
        <fgColor theme="5" tint="-0.249977111117893"/>
        <bgColor indexed="64"/>
      </patternFill>
    </fill>
    <fill>
      <patternFill patternType="solid">
        <fgColor theme="5" tint="0.39997558519241921"/>
        <bgColor indexed="64"/>
      </patternFill>
    </fill>
    <fill>
      <patternFill patternType="solid">
        <fgColor theme="8" tint="0.39997558519241921"/>
        <bgColor rgb="FFD6EAF8"/>
      </patternFill>
    </fill>
    <fill>
      <patternFill patternType="solid">
        <fgColor theme="8" tint="0.39997558519241921"/>
        <bgColor rgb="FFDEEAF1"/>
      </patternFill>
    </fill>
  </fills>
  <borders count="35">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rgb="FFBFBFBF"/>
      </left>
      <right/>
      <top style="thin">
        <color rgb="FFBFBFBF"/>
      </top>
      <bottom style="thin">
        <color rgb="FFBFBFBF"/>
      </bottom>
      <diagonal/>
    </border>
    <border>
      <left style="medium">
        <color indexed="64"/>
      </left>
      <right style="thin">
        <color rgb="FFBFBFBF"/>
      </right>
      <top style="medium">
        <color indexed="64"/>
      </top>
      <bottom style="medium">
        <color indexed="64"/>
      </bottom>
      <diagonal/>
    </border>
    <border>
      <left style="thin">
        <color rgb="FFBFBFBF"/>
      </left>
      <right style="thin">
        <color rgb="FFBFBFBF"/>
      </right>
      <top style="medium">
        <color indexed="64"/>
      </top>
      <bottom style="medium">
        <color indexed="64"/>
      </bottom>
      <diagonal/>
    </border>
    <border>
      <left style="medium">
        <color indexed="64"/>
      </left>
      <right style="thin">
        <color rgb="FFBFBFBF"/>
      </right>
      <top/>
      <bottom style="medium">
        <color indexed="64"/>
      </bottom>
      <diagonal/>
    </border>
    <border>
      <left style="thin">
        <color rgb="FFBFBFBF"/>
      </left>
      <right style="thin">
        <color rgb="FFBFBFBF"/>
      </right>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right/>
      <top/>
      <bottom style="medium">
        <color indexed="64"/>
      </bottom>
      <diagonal/>
    </border>
    <border>
      <left style="medium">
        <color rgb="FFBFBFBF"/>
      </left>
      <right style="medium">
        <color rgb="FFBFBFBF"/>
      </right>
      <top style="medium">
        <color rgb="FFBFBFBF"/>
      </top>
      <bottom style="medium">
        <color rgb="FFBFBFBF"/>
      </bottom>
      <diagonal/>
    </border>
    <border>
      <left/>
      <right style="thin">
        <color rgb="FFBFBFBF"/>
      </right>
      <top/>
      <bottom/>
      <diagonal/>
    </border>
    <border>
      <left style="thin">
        <color rgb="FFBFBFBF"/>
      </left>
      <right style="thin">
        <color rgb="FFBFBFBF"/>
      </right>
      <top/>
      <bottom/>
      <diagonal/>
    </border>
    <border>
      <left style="thin">
        <color rgb="FFBFBFBF"/>
      </left>
      <right/>
      <top/>
      <bottom/>
      <diagonal/>
    </border>
    <border>
      <left style="medium">
        <color indexed="64"/>
      </left>
      <right style="thin">
        <color indexed="64"/>
      </right>
      <top style="medium">
        <color indexed="64"/>
      </top>
      <bottom/>
      <diagonal/>
    </border>
    <border>
      <left/>
      <right/>
      <top style="medium">
        <color rgb="FFBFBFBF"/>
      </top>
      <bottom/>
      <diagonal/>
    </border>
  </borders>
  <cellStyleXfs count="5">
    <xf numFmtId="0" fontId="0" fillId="0" borderId="0"/>
    <xf numFmtId="0" fontId="2" fillId="0" borderId="0"/>
    <xf numFmtId="43" fontId="13" fillId="0" borderId="0" applyFont="0" applyFill="0" applyBorder="0" applyAlignment="0" applyProtection="0"/>
    <xf numFmtId="9" fontId="13" fillId="0" borderId="0" applyFont="0" applyFill="0" applyBorder="0" applyAlignment="0" applyProtection="0"/>
    <xf numFmtId="0" fontId="18" fillId="0" borderId="0" applyNumberFormat="0" applyFill="0" applyBorder="0" applyAlignment="0" applyProtection="0"/>
  </cellStyleXfs>
  <cellXfs count="291">
    <xf numFmtId="0" fontId="0" fillId="0" borderId="0" xfId="0"/>
    <xf numFmtId="0" fontId="6" fillId="6" borderId="0" xfId="0" applyFont="1" applyFill="1" applyAlignment="1">
      <alignment horizontal="center" vertical="center"/>
    </xf>
    <xf numFmtId="0" fontId="6" fillId="4" borderId="0" xfId="0" applyFont="1" applyFill="1" applyAlignment="1">
      <alignment horizontal="center" vertical="center"/>
    </xf>
    <xf numFmtId="0" fontId="7" fillId="4" borderId="0" xfId="0" applyFont="1" applyFill="1" applyAlignment="1">
      <alignment horizontal="center"/>
    </xf>
    <xf numFmtId="0" fontId="6" fillId="5" borderId="0" xfId="0" applyFont="1" applyFill="1" applyAlignment="1">
      <alignment horizontal="left" vertical="center"/>
    </xf>
    <xf numFmtId="0" fontId="9" fillId="0" borderId="0" xfId="0" applyFont="1" applyAlignment="1">
      <alignment horizontal="left" vertical="center" indent="1"/>
    </xf>
    <xf numFmtId="0" fontId="6" fillId="5" borderId="0" xfId="0" applyFont="1" applyFill="1" applyAlignment="1">
      <alignment horizontal="left" vertical="center" indent="1"/>
    </xf>
    <xf numFmtId="0" fontId="9" fillId="0" borderId="0" xfId="0" applyFont="1" applyAlignment="1">
      <alignment horizontal="left" vertical="center" indent="2"/>
    </xf>
    <xf numFmtId="0" fontId="9" fillId="0" borderId="0" xfId="0" applyFont="1" applyAlignment="1">
      <alignment horizontal="left" vertical="center"/>
    </xf>
    <xf numFmtId="0" fontId="6" fillId="0" borderId="0" xfId="0" applyFont="1" applyAlignment="1">
      <alignment horizontal="left" vertical="center"/>
    </xf>
    <xf numFmtId="164" fontId="11" fillId="0" borderId="0" xfId="0" applyNumberFormat="1" applyFont="1" applyAlignment="1">
      <alignment horizontal="right" vertical="center"/>
    </xf>
    <xf numFmtId="0" fontId="12" fillId="0" borderId="0" xfId="0" applyFont="1" applyAlignment="1">
      <alignment horizontal="left" vertical="center" indent="1"/>
    </xf>
    <xf numFmtId="0" fontId="0" fillId="0" borderId="0" xfId="0" applyAlignment="1">
      <alignment horizontal="right"/>
    </xf>
    <xf numFmtId="165" fontId="12" fillId="4" borderId="0" xfId="0" applyNumberFormat="1" applyFont="1" applyFill="1" applyAlignment="1">
      <alignment horizontal="right" vertical="center"/>
    </xf>
    <xf numFmtId="166" fontId="12" fillId="4" borderId="0" xfId="0" applyNumberFormat="1" applyFont="1" applyFill="1" applyAlignment="1">
      <alignment horizontal="right" vertical="center"/>
    </xf>
    <xf numFmtId="164" fontId="11" fillId="5" borderId="0" xfId="0" applyNumberFormat="1" applyFont="1" applyFill="1" applyAlignment="1">
      <alignment horizontal="right" vertical="center"/>
    </xf>
    <xf numFmtId="164" fontId="11" fillId="6" borderId="0" xfId="0" applyNumberFormat="1" applyFont="1" applyFill="1" applyAlignment="1">
      <alignment horizontal="right" vertical="center"/>
    </xf>
    <xf numFmtId="164" fontId="9" fillId="0" borderId="0" xfId="0" applyNumberFormat="1" applyFont="1" applyAlignment="1">
      <alignment horizontal="right" vertical="center"/>
    </xf>
    <xf numFmtId="0" fontId="17" fillId="8" borderId="2" xfId="0" applyFont="1" applyFill="1" applyBorder="1" applyAlignment="1">
      <alignment horizontal="center"/>
    </xf>
    <xf numFmtId="0" fontId="0" fillId="8" borderId="2" xfId="0" applyFill="1" applyBorder="1"/>
    <xf numFmtId="15" fontId="0" fillId="0" borderId="0" xfId="0" applyNumberFormat="1"/>
    <xf numFmtId="0" fontId="15" fillId="9" borderId="3" xfId="0" applyFont="1" applyFill="1" applyBorder="1"/>
    <xf numFmtId="0" fontId="15" fillId="9" borderId="4" xfId="0" applyFont="1" applyFill="1" applyBorder="1"/>
    <xf numFmtId="0" fontId="0" fillId="9" borderId="7" xfId="0" applyFill="1" applyBorder="1"/>
    <xf numFmtId="0" fontId="0" fillId="9" borderId="8" xfId="0" applyFill="1" applyBorder="1"/>
    <xf numFmtId="0" fontId="15" fillId="9" borderId="7" xfId="0" applyFont="1" applyFill="1" applyBorder="1"/>
    <xf numFmtId="0" fontId="15" fillId="9" borderId="8" xfId="0" applyFont="1" applyFill="1" applyBorder="1"/>
    <xf numFmtId="0" fontId="15" fillId="9" borderId="9" xfId="0" applyFont="1" applyFill="1" applyBorder="1"/>
    <xf numFmtId="0" fontId="15" fillId="9" borderId="10" xfId="0" applyFont="1" applyFill="1" applyBorder="1"/>
    <xf numFmtId="0" fontId="0" fillId="0" borderId="13" xfId="0" applyBorder="1"/>
    <xf numFmtId="43" fontId="0" fillId="0" borderId="14" xfId="0" applyNumberFormat="1" applyBorder="1"/>
    <xf numFmtId="168" fontId="0" fillId="0" borderId="14" xfId="3" applyNumberFormat="1" applyFont="1" applyBorder="1"/>
    <xf numFmtId="10" fontId="0" fillId="0" borderId="14" xfId="3" applyNumberFormat="1" applyFont="1" applyBorder="1"/>
    <xf numFmtId="0" fontId="0" fillId="0" borderId="15" xfId="0" applyBorder="1"/>
    <xf numFmtId="0" fontId="0" fillId="0" borderId="16" xfId="0" applyBorder="1"/>
    <xf numFmtId="0" fontId="0" fillId="0" borderId="14" xfId="0" applyBorder="1"/>
    <xf numFmtId="10" fontId="0" fillId="0" borderId="16" xfId="0" applyNumberFormat="1" applyBorder="1"/>
    <xf numFmtId="10" fontId="13" fillId="0" borderId="14" xfId="3" applyNumberFormat="1" applyBorder="1"/>
    <xf numFmtId="10" fontId="0" fillId="0" borderId="14" xfId="0" applyNumberFormat="1" applyBorder="1"/>
    <xf numFmtId="10" fontId="0" fillId="0" borderId="16" xfId="3" applyNumberFormat="1" applyFont="1" applyBorder="1"/>
    <xf numFmtId="0" fontId="0" fillId="0" borderId="2" xfId="0" applyBorder="1"/>
    <xf numFmtId="168" fontId="0" fillId="0" borderId="2" xfId="0" applyNumberFormat="1" applyBorder="1"/>
    <xf numFmtId="10" fontId="0" fillId="0" borderId="2" xfId="0" applyNumberFormat="1" applyBorder="1"/>
    <xf numFmtId="0" fontId="22" fillId="10" borderId="15" xfId="0" applyFont="1" applyFill="1" applyBorder="1"/>
    <xf numFmtId="0" fontId="22" fillId="10" borderId="18" xfId="0" applyFont="1" applyFill="1" applyBorder="1"/>
    <xf numFmtId="10" fontId="22" fillId="10" borderId="16" xfId="0" applyNumberFormat="1" applyFont="1" applyFill="1" applyBorder="1"/>
    <xf numFmtId="0" fontId="23" fillId="0" borderId="11" xfId="0" applyFont="1" applyBorder="1"/>
    <xf numFmtId="0" fontId="23" fillId="0" borderId="17" xfId="0" applyFont="1" applyBorder="1"/>
    <xf numFmtId="0" fontId="23" fillId="0" borderId="12" xfId="0" applyFont="1" applyBorder="1" applyAlignment="1">
      <alignment wrapText="1"/>
    </xf>
    <xf numFmtId="0" fontId="23" fillId="0" borderId="13" xfId="0" applyFont="1" applyBorder="1"/>
    <xf numFmtId="0" fontId="23" fillId="0" borderId="2" xfId="0" applyFont="1" applyBorder="1"/>
    <xf numFmtId="0" fontId="23" fillId="0" borderId="2" xfId="0" applyFont="1" applyBorder="1" applyAlignment="1">
      <alignment wrapText="1"/>
    </xf>
    <xf numFmtId="0" fontId="24" fillId="0" borderId="14" xfId="4" applyFont="1" applyBorder="1" applyAlignment="1">
      <alignment wrapText="1"/>
    </xf>
    <xf numFmtId="9" fontId="23" fillId="0" borderId="2" xfId="0" applyNumberFormat="1" applyFont="1" applyBorder="1"/>
    <xf numFmtId="0" fontId="23" fillId="0" borderId="14" xfId="0" applyFont="1" applyBorder="1" applyAlignment="1">
      <alignment wrapText="1"/>
    </xf>
    <xf numFmtId="10" fontId="23" fillId="0" borderId="2" xfId="0" applyNumberFormat="1" applyFont="1" applyBorder="1"/>
    <xf numFmtId="167" fontId="23" fillId="0" borderId="2" xfId="0" applyNumberFormat="1" applyFont="1" applyBorder="1"/>
    <xf numFmtId="167" fontId="23" fillId="0" borderId="2" xfId="3" applyNumberFormat="1" applyFont="1" applyBorder="1"/>
    <xf numFmtId="0" fontId="23" fillId="0" borderId="2" xfId="0" applyFont="1" applyBorder="1" applyAlignment="1">
      <alignment vertical="center" wrapText="1"/>
    </xf>
    <xf numFmtId="0" fontId="23" fillId="0" borderId="15" xfId="0" applyFont="1" applyBorder="1"/>
    <xf numFmtId="0" fontId="23" fillId="0" borderId="18" xfId="0" applyFont="1" applyBorder="1"/>
    <xf numFmtId="0" fontId="25" fillId="0" borderId="18" xfId="0" applyFont="1" applyBorder="1"/>
    <xf numFmtId="0" fontId="24" fillId="0" borderId="16" xfId="4" applyFont="1" applyBorder="1"/>
    <xf numFmtId="0" fontId="20" fillId="0" borderId="0" xfId="0" applyFont="1"/>
    <xf numFmtId="9" fontId="0" fillId="0" borderId="14" xfId="0" applyNumberFormat="1" applyBorder="1"/>
    <xf numFmtId="43" fontId="0" fillId="0" borderId="16" xfId="0" applyNumberFormat="1" applyBorder="1"/>
    <xf numFmtId="43" fontId="0" fillId="0" borderId="0" xfId="0" applyNumberFormat="1"/>
    <xf numFmtId="43" fontId="0" fillId="0" borderId="2" xfId="0" applyNumberFormat="1" applyBorder="1"/>
    <xf numFmtId="4" fontId="0" fillId="0" borderId="2" xfId="0" applyNumberFormat="1" applyBorder="1"/>
    <xf numFmtId="0" fontId="0" fillId="0" borderId="14" xfId="0" applyBorder="1" applyAlignment="1">
      <alignment horizontal="center"/>
    </xf>
    <xf numFmtId="170" fontId="30" fillId="11" borderId="0" xfId="0" applyNumberFormat="1" applyFont="1" applyFill="1"/>
    <xf numFmtId="43" fontId="31" fillId="11" borderId="0" xfId="2" applyFont="1" applyFill="1"/>
    <xf numFmtId="171" fontId="31" fillId="11" borderId="0" xfId="0" applyNumberFormat="1" applyFont="1" applyFill="1"/>
    <xf numFmtId="0" fontId="31" fillId="11" borderId="0" xfId="0" applyFont="1" applyFill="1"/>
    <xf numFmtId="0" fontId="32" fillId="7" borderId="11" xfId="0" applyFont="1" applyFill="1" applyBorder="1" applyAlignment="1">
      <alignment horizontal="center" vertical="center"/>
    </xf>
    <xf numFmtId="0" fontId="29" fillId="7" borderId="17" xfId="0" applyFont="1" applyFill="1" applyBorder="1" applyAlignment="1">
      <alignment horizontal="center" vertical="center" wrapText="1"/>
    </xf>
    <xf numFmtId="0" fontId="29" fillId="7" borderId="12" xfId="0" applyFont="1" applyFill="1" applyBorder="1" applyAlignment="1">
      <alignment horizontal="center" vertical="center" wrapText="1"/>
    </xf>
    <xf numFmtId="0" fontId="34" fillId="0" borderId="0" xfId="0" applyFont="1"/>
    <xf numFmtId="0" fontId="7" fillId="9" borderId="20" xfId="0" applyFont="1" applyFill="1" applyBorder="1" applyAlignment="1">
      <alignment horizontal="center" vertical="center" wrapText="1"/>
    </xf>
    <xf numFmtId="0" fontId="3" fillId="0" borderId="21" xfId="0" applyFont="1" applyBorder="1" applyAlignment="1">
      <alignment horizontal="center" vertical="center" wrapText="1"/>
    </xf>
    <xf numFmtId="2" fontId="3" fillId="0" borderId="21" xfId="0" applyNumberFormat="1" applyFont="1" applyBorder="1" applyAlignment="1">
      <alignment horizontal="center" vertical="center" wrapText="1"/>
    </xf>
    <xf numFmtId="0" fontId="7" fillId="9" borderId="22" xfId="0" applyFont="1" applyFill="1" applyBorder="1" applyAlignment="1">
      <alignment horizontal="center" vertical="center" wrapText="1"/>
    </xf>
    <xf numFmtId="0" fontId="3" fillId="0" borderId="23" xfId="0" applyFont="1" applyBorder="1" applyAlignment="1">
      <alignment horizontal="center" vertical="center" wrapText="1"/>
    </xf>
    <xf numFmtId="2" fontId="3" fillId="0" borderId="23" xfId="0" applyNumberFormat="1" applyFont="1" applyBorder="1" applyAlignment="1">
      <alignment horizontal="center" vertical="center" wrapText="1"/>
    </xf>
    <xf numFmtId="0" fontId="15" fillId="0" borderId="0" xfId="0" applyFont="1"/>
    <xf numFmtId="0" fontId="15" fillId="0" borderId="13" xfId="0" applyFont="1" applyBorder="1"/>
    <xf numFmtId="167" fontId="13" fillId="0" borderId="2" xfId="3" applyNumberFormat="1" applyBorder="1"/>
    <xf numFmtId="0" fontId="15" fillId="0" borderId="15" xfId="0" applyFont="1" applyBorder="1"/>
    <xf numFmtId="167" fontId="13" fillId="0" borderId="18" xfId="3" applyNumberFormat="1" applyBorder="1"/>
    <xf numFmtId="172" fontId="0" fillId="0" borderId="2" xfId="0" applyNumberFormat="1" applyBorder="1"/>
    <xf numFmtId="173" fontId="0" fillId="0" borderId="2" xfId="0" applyNumberFormat="1" applyBorder="1"/>
    <xf numFmtId="172" fontId="0" fillId="0" borderId="18" xfId="0" applyNumberFormat="1" applyBorder="1"/>
    <xf numFmtId="0" fontId="14" fillId="14" borderId="5" xfId="0" applyFont="1" applyFill="1" applyBorder="1"/>
    <xf numFmtId="0" fontId="15" fillId="14" borderId="27" xfId="0" applyFont="1" applyFill="1" applyBorder="1"/>
    <xf numFmtId="0" fontId="15" fillId="14" borderId="6" xfId="0" applyFont="1" applyFill="1" applyBorder="1"/>
    <xf numFmtId="0" fontId="15" fillId="0" borderId="7" xfId="0" applyFont="1" applyBorder="1"/>
    <xf numFmtId="0" fontId="15" fillId="0" borderId="8" xfId="0" applyFont="1" applyBorder="1"/>
    <xf numFmtId="0" fontId="37" fillId="7" borderId="5" xfId="0" applyFont="1" applyFill="1" applyBorder="1" applyAlignment="1">
      <alignment horizontal="left"/>
    </xf>
    <xf numFmtId="0" fontId="36" fillId="13" borderId="17" xfId="0" applyFont="1" applyFill="1" applyBorder="1" applyAlignment="1">
      <alignment horizontal="center" vertical="center" wrapText="1"/>
    </xf>
    <xf numFmtId="0" fontId="36" fillId="13" borderId="12" xfId="0" applyFont="1" applyFill="1" applyBorder="1" applyAlignment="1">
      <alignment horizontal="center" vertical="center" wrapText="1"/>
    </xf>
    <xf numFmtId="0" fontId="1" fillId="9" borderId="5" xfId="0" applyFont="1" applyFill="1" applyBorder="1"/>
    <xf numFmtId="43" fontId="1" fillId="0" borderId="27" xfId="0" applyNumberFormat="1" applyFont="1" applyBorder="1"/>
    <xf numFmtId="0" fontId="1" fillId="9" borderId="7" xfId="0" applyFont="1" applyFill="1" applyBorder="1"/>
    <xf numFmtId="9" fontId="1" fillId="0" borderId="0" xfId="3" applyFont="1" applyBorder="1"/>
    <xf numFmtId="43" fontId="1" fillId="0" borderId="0" xfId="0" applyNumberFormat="1" applyFont="1"/>
    <xf numFmtId="0" fontId="1" fillId="9" borderId="9" xfId="0" applyFont="1" applyFill="1" applyBorder="1"/>
    <xf numFmtId="2" fontId="1" fillId="0" borderId="28" xfId="0" applyNumberFormat="1" applyFont="1" applyBorder="1"/>
    <xf numFmtId="0" fontId="0" fillId="15" borderId="13" xfId="0" applyFill="1" applyBorder="1"/>
    <xf numFmtId="0" fontId="0" fillId="15" borderId="15" xfId="0" applyFill="1" applyBorder="1"/>
    <xf numFmtId="169" fontId="0" fillId="0" borderId="14" xfId="0" applyNumberFormat="1" applyBorder="1"/>
    <xf numFmtId="43" fontId="0" fillId="0" borderId="18" xfId="0" applyNumberFormat="1" applyBorder="1"/>
    <xf numFmtId="0" fontId="28" fillId="15" borderId="13" xfId="0" applyFont="1" applyFill="1" applyBorder="1"/>
    <xf numFmtId="43" fontId="28" fillId="0" borderId="14" xfId="0" applyNumberFormat="1" applyFont="1" applyBorder="1"/>
    <xf numFmtId="0" fontId="28" fillId="0" borderId="14" xfId="0" applyFont="1" applyBorder="1"/>
    <xf numFmtId="43" fontId="28" fillId="0" borderId="16" xfId="0" applyNumberFormat="1" applyFont="1" applyBorder="1"/>
    <xf numFmtId="0" fontId="22" fillId="15" borderId="13" xfId="0" applyFont="1" applyFill="1" applyBorder="1"/>
    <xf numFmtId="10" fontId="0" fillId="0" borderId="14" xfId="3" applyNumberFormat="1" applyFont="1" applyFill="1" applyBorder="1" applyAlignment="1">
      <alignment horizontal="center"/>
    </xf>
    <xf numFmtId="0" fontId="22" fillId="0" borderId="14" xfId="0" applyFont="1" applyBorder="1" applyAlignment="1">
      <alignment horizontal="center"/>
    </xf>
    <xf numFmtId="0" fontId="0" fillId="0" borderId="16" xfId="0" applyBorder="1" applyAlignment="1">
      <alignment horizontal="center"/>
    </xf>
    <xf numFmtId="0" fontId="20" fillId="13" borderId="14" xfId="0" applyFont="1" applyFill="1" applyBorder="1"/>
    <xf numFmtId="0" fontId="20" fillId="13" borderId="13" xfId="0" applyFont="1" applyFill="1" applyBorder="1"/>
    <xf numFmtId="0" fontId="20" fillId="13" borderId="2" xfId="0" applyFont="1" applyFill="1" applyBorder="1"/>
    <xf numFmtId="0" fontId="20" fillId="13" borderId="0" xfId="0" applyFont="1" applyFill="1" applyAlignment="1">
      <alignment horizontal="right"/>
    </xf>
    <xf numFmtId="0" fontId="44" fillId="2" borderId="1" xfId="0" applyFont="1" applyFill="1" applyBorder="1" applyAlignment="1">
      <alignment horizontal="center" vertical="center" wrapText="1"/>
    </xf>
    <xf numFmtId="0" fontId="39" fillId="25" borderId="1" xfId="0" applyFont="1" applyFill="1" applyBorder="1" applyAlignment="1">
      <alignment horizontal="left" vertical="center" indent="1"/>
    </xf>
    <xf numFmtId="1" fontId="40" fillId="25" borderId="1" xfId="0" applyNumberFormat="1" applyFont="1" applyFill="1" applyBorder="1" applyAlignment="1">
      <alignment horizontal="center" vertical="center"/>
    </xf>
    <xf numFmtId="3" fontId="40" fillId="25" borderId="1" xfId="0" applyNumberFormat="1" applyFont="1" applyFill="1" applyBorder="1" applyAlignment="1">
      <alignment horizontal="right" vertical="center"/>
    </xf>
    <xf numFmtId="167" fontId="40" fillId="25" borderId="1" xfId="0" applyNumberFormat="1" applyFont="1" applyFill="1" applyBorder="1" applyAlignment="1">
      <alignment horizontal="right" vertical="center"/>
    </xf>
    <xf numFmtId="2" fontId="40" fillId="25" borderId="1" xfId="0" applyNumberFormat="1" applyFont="1" applyFill="1" applyBorder="1" applyAlignment="1">
      <alignment horizontal="right" vertical="center"/>
    </xf>
    <xf numFmtId="49" fontId="40" fillId="25" borderId="1" xfId="0" applyNumberFormat="1" applyFont="1" applyFill="1" applyBorder="1" applyAlignment="1">
      <alignment horizontal="right" vertical="center"/>
    </xf>
    <xf numFmtId="0" fontId="39" fillId="26" borderId="1" xfId="0" applyFont="1" applyFill="1" applyBorder="1" applyAlignment="1">
      <alignment horizontal="left" vertical="center" indent="1"/>
    </xf>
    <xf numFmtId="1" fontId="40" fillId="26" borderId="1" xfId="0" applyNumberFormat="1" applyFont="1" applyFill="1" applyBorder="1" applyAlignment="1">
      <alignment horizontal="center" vertical="center"/>
    </xf>
    <xf numFmtId="3" fontId="40" fillId="26" borderId="1" xfId="0" applyNumberFormat="1" applyFont="1" applyFill="1" applyBorder="1" applyAlignment="1">
      <alignment horizontal="right" vertical="center"/>
    </xf>
    <xf numFmtId="167" fontId="40" fillId="26" borderId="1" xfId="0" applyNumberFormat="1" applyFont="1" applyFill="1" applyBorder="1" applyAlignment="1">
      <alignment horizontal="right" vertical="center"/>
    </xf>
    <xf numFmtId="2" fontId="40" fillId="26" borderId="1" xfId="0" applyNumberFormat="1" applyFont="1" applyFill="1" applyBorder="1" applyAlignment="1">
      <alignment horizontal="right" vertical="center"/>
    </xf>
    <xf numFmtId="172" fontId="40" fillId="26" borderId="1" xfId="0" applyNumberFormat="1" applyFont="1" applyFill="1" applyBorder="1" applyAlignment="1">
      <alignment horizontal="right" vertical="center"/>
    </xf>
    <xf numFmtId="0" fontId="39" fillId="27" borderId="1" xfId="0" applyFont="1" applyFill="1" applyBorder="1" applyAlignment="1">
      <alignment horizontal="left" vertical="center" indent="1"/>
    </xf>
    <xf numFmtId="1" fontId="40" fillId="27" borderId="1" xfId="0" applyNumberFormat="1" applyFont="1" applyFill="1" applyBorder="1" applyAlignment="1">
      <alignment horizontal="center" vertical="center"/>
    </xf>
    <xf numFmtId="3" fontId="40" fillId="27" borderId="1" xfId="0" applyNumberFormat="1" applyFont="1" applyFill="1" applyBorder="1" applyAlignment="1">
      <alignment horizontal="right" vertical="center"/>
    </xf>
    <xf numFmtId="167" fontId="40" fillId="27" borderId="1" xfId="0" applyNumberFormat="1" applyFont="1" applyFill="1" applyBorder="1" applyAlignment="1">
      <alignment horizontal="right" vertical="center"/>
    </xf>
    <xf numFmtId="2" fontId="40" fillId="27" borderId="1" xfId="0" applyNumberFormat="1" applyFont="1" applyFill="1" applyBorder="1" applyAlignment="1">
      <alignment horizontal="right" vertical="center"/>
    </xf>
    <xf numFmtId="172" fontId="40" fillId="27" borderId="1" xfId="0" applyNumberFormat="1" applyFont="1" applyFill="1" applyBorder="1" applyAlignment="1">
      <alignment horizontal="right" vertical="center"/>
    </xf>
    <xf numFmtId="0" fontId="39" fillId="28" borderId="1" xfId="0" applyFont="1" applyFill="1" applyBorder="1" applyAlignment="1">
      <alignment horizontal="left" vertical="center" indent="1"/>
    </xf>
    <xf numFmtId="1" fontId="40" fillId="28" borderId="1" xfId="0" applyNumberFormat="1" applyFont="1" applyFill="1" applyBorder="1" applyAlignment="1">
      <alignment horizontal="center" vertical="center"/>
    </xf>
    <xf numFmtId="3" fontId="40" fillId="28" borderId="1" xfId="0" applyNumberFormat="1" applyFont="1" applyFill="1" applyBorder="1" applyAlignment="1">
      <alignment horizontal="right" vertical="center"/>
    </xf>
    <xf numFmtId="167" fontId="40" fillId="28" borderId="1" xfId="0" applyNumberFormat="1" applyFont="1" applyFill="1" applyBorder="1" applyAlignment="1">
      <alignment horizontal="right" vertical="center"/>
    </xf>
    <xf numFmtId="2" fontId="40" fillId="28" borderId="1" xfId="0" applyNumberFormat="1" applyFont="1" applyFill="1" applyBorder="1" applyAlignment="1">
      <alignment horizontal="right" vertical="center"/>
    </xf>
    <xf numFmtId="172" fontId="40" fillId="28" borderId="1" xfId="0" applyNumberFormat="1" applyFont="1" applyFill="1" applyBorder="1" applyAlignment="1">
      <alignment horizontal="right" vertical="center"/>
    </xf>
    <xf numFmtId="0" fontId="39" fillId="19" borderId="1" xfId="0" applyFont="1" applyFill="1" applyBorder="1" applyAlignment="1">
      <alignment horizontal="left" vertical="center" indent="1"/>
    </xf>
    <xf numFmtId="0" fontId="40" fillId="20" borderId="1" xfId="0" applyFont="1" applyFill="1" applyBorder="1" applyAlignment="1">
      <alignment horizontal="center" vertical="center" wrapText="1"/>
    </xf>
    <xf numFmtId="0" fontId="41" fillId="21" borderId="1" xfId="0" applyFont="1" applyFill="1" applyBorder="1" applyAlignment="1">
      <alignment horizontal="center" vertical="center"/>
    </xf>
    <xf numFmtId="0" fontId="42" fillId="22" borderId="1" xfId="0" applyFont="1" applyFill="1" applyBorder="1" applyAlignment="1">
      <alignment horizontal="left" vertical="center" wrapText="1" indent="1"/>
    </xf>
    <xf numFmtId="0" fontId="43" fillId="22" borderId="1" xfId="0" applyFont="1" applyFill="1" applyBorder="1" applyAlignment="1">
      <alignment horizontal="center" vertical="center" wrapText="1"/>
    </xf>
    <xf numFmtId="0" fontId="43" fillId="22" borderId="1" xfId="0" applyFont="1" applyFill="1" applyBorder="1" applyAlignment="1">
      <alignment horizontal="left" vertical="center" wrapText="1"/>
    </xf>
    <xf numFmtId="0" fontId="42" fillId="20" borderId="1" xfId="0" applyFont="1" applyFill="1" applyBorder="1" applyAlignment="1">
      <alignment horizontal="left" vertical="center" wrapText="1" indent="1"/>
    </xf>
    <xf numFmtId="0" fontId="43" fillId="20" borderId="1" xfId="0" applyFont="1" applyFill="1" applyBorder="1" applyAlignment="1">
      <alignment horizontal="left" vertical="center" wrapText="1"/>
    </xf>
    <xf numFmtId="0" fontId="42" fillId="23" borderId="1" xfId="0" applyFont="1" applyFill="1" applyBorder="1" applyAlignment="1">
      <alignment horizontal="left" vertical="center" wrapText="1" indent="1"/>
    </xf>
    <xf numFmtId="0" fontId="43" fillId="23" borderId="1" xfId="0" applyFont="1" applyFill="1" applyBorder="1" applyAlignment="1">
      <alignment horizontal="left" vertical="center" wrapText="1"/>
    </xf>
    <xf numFmtId="17" fontId="0" fillId="8" borderId="2" xfId="0" applyNumberFormat="1" applyFill="1" applyBorder="1"/>
    <xf numFmtId="0" fontId="39" fillId="0" borderId="30" xfId="0" applyFont="1" applyBorder="1" applyAlignment="1">
      <alignment horizontal="center" vertical="center"/>
    </xf>
    <xf numFmtId="4" fontId="40" fillId="0" borderId="31" xfId="0" applyNumberFormat="1" applyFont="1" applyBorder="1" applyAlignment="1">
      <alignment horizontal="right" vertical="center"/>
    </xf>
    <xf numFmtId="166" fontId="40" fillId="0" borderId="31" xfId="0" applyNumberFormat="1" applyFont="1" applyBorder="1" applyAlignment="1">
      <alignment horizontal="right" vertical="center"/>
    </xf>
    <xf numFmtId="3" fontId="45" fillId="0" borderId="31" xfId="0" applyNumberFormat="1" applyFont="1" applyBorder="1" applyAlignment="1">
      <alignment horizontal="right" vertical="center"/>
    </xf>
    <xf numFmtId="3" fontId="40" fillId="0" borderId="31" xfId="0" applyNumberFormat="1" applyFont="1" applyBorder="1" applyAlignment="1">
      <alignment horizontal="right" vertical="center"/>
    </xf>
    <xf numFmtId="2" fontId="45" fillId="0" borderId="31" xfId="0" applyNumberFormat="1" applyFont="1" applyBorder="1" applyAlignment="1">
      <alignment horizontal="right" vertical="center"/>
    </xf>
    <xf numFmtId="2" fontId="45" fillId="0" borderId="32" xfId="0" applyNumberFormat="1" applyFont="1" applyBorder="1" applyAlignment="1">
      <alignment horizontal="right" vertical="center"/>
    </xf>
    <xf numFmtId="3" fontId="40" fillId="0" borderId="0" xfId="0" applyNumberFormat="1" applyFont="1" applyAlignment="1">
      <alignment horizontal="right" vertical="center"/>
    </xf>
    <xf numFmtId="4" fontId="40" fillId="0" borderId="2" xfId="0" applyNumberFormat="1" applyFont="1" applyBorder="1" applyAlignment="1">
      <alignment horizontal="right" vertical="center"/>
    </xf>
    <xf numFmtId="166" fontId="40" fillId="0" borderId="2" xfId="0" applyNumberFormat="1" applyFont="1" applyBorder="1" applyAlignment="1">
      <alignment horizontal="right" vertical="center"/>
    </xf>
    <xf numFmtId="3" fontId="45" fillId="0" borderId="2" xfId="0" applyNumberFormat="1" applyFont="1" applyBorder="1" applyAlignment="1">
      <alignment horizontal="right" vertical="center"/>
    </xf>
    <xf numFmtId="3" fontId="40" fillId="0" borderId="2" xfId="0" applyNumberFormat="1" applyFont="1" applyBorder="1" applyAlignment="1">
      <alignment horizontal="right" vertical="center"/>
    </xf>
    <xf numFmtId="2" fontId="45" fillId="0" borderId="2" xfId="0" applyNumberFormat="1" applyFont="1" applyBorder="1" applyAlignment="1">
      <alignment horizontal="right" vertical="center"/>
    </xf>
    <xf numFmtId="0" fontId="8" fillId="16" borderId="33" xfId="0" applyFont="1" applyFill="1" applyBorder="1" applyAlignment="1">
      <alignment horizontal="center" vertical="center" wrapText="1"/>
    </xf>
    <xf numFmtId="0" fontId="0" fillId="0" borderId="25" xfId="0" applyBorder="1"/>
    <xf numFmtId="0" fontId="0" fillId="0" borderId="26" xfId="0" applyBorder="1"/>
    <xf numFmtId="0" fontId="8" fillId="12" borderId="11" xfId="0" applyFont="1" applyFill="1" applyBorder="1" applyAlignment="1">
      <alignment horizontal="center" vertical="center" wrapText="1"/>
    </xf>
    <xf numFmtId="0" fontId="8" fillId="12" borderId="17" xfId="0" applyFont="1" applyFill="1" applyBorder="1" applyAlignment="1">
      <alignment horizontal="center" vertical="center" wrapText="1"/>
    </xf>
    <xf numFmtId="0" fontId="8" fillId="12" borderId="12" xfId="0" applyFont="1" applyFill="1" applyBorder="1" applyAlignment="1">
      <alignment horizontal="center" vertical="center" wrapText="1"/>
    </xf>
    <xf numFmtId="0" fontId="40" fillId="0" borderId="13" xfId="0" applyFont="1" applyBorder="1" applyAlignment="1">
      <alignment horizontal="center" vertical="center"/>
    </xf>
    <xf numFmtId="3" fontId="40" fillId="0" borderId="14" xfId="0" applyNumberFormat="1" applyFont="1" applyBorder="1" applyAlignment="1">
      <alignment horizontal="right" vertical="center"/>
    </xf>
    <xf numFmtId="4" fontId="40" fillId="0" borderId="18" xfId="0" applyNumberFormat="1" applyFont="1" applyBorder="1" applyAlignment="1">
      <alignment horizontal="right" vertical="center"/>
    </xf>
    <xf numFmtId="166" fontId="40" fillId="0" borderId="18" xfId="0" applyNumberFormat="1" applyFont="1" applyBorder="1" applyAlignment="1">
      <alignment horizontal="right" vertical="center"/>
    </xf>
    <xf numFmtId="3" fontId="45" fillId="0" borderId="18" xfId="0" applyNumberFormat="1" applyFont="1" applyBorder="1" applyAlignment="1">
      <alignment horizontal="right" vertical="center"/>
    </xf>
    <xf numFmtId="3" fontId="40" fillId="0" borderId="18" xfId="0" applyNumberFormat="1" applyFont="1" applyBorder="1" applyAlignment="1">
      <alignment horizontal="right" vertical="center"/>
    </xf>
    <xf numFmtId="2" fontId="45" fillId="0" borderId="18" xfId="0" applyNumberFormat="1" applyFont="1" applyBorder="1" applyAlignment="1">
      <alignment horizontal="right" vertical="center"/>
    </xf>
    <xf numFmtId="3" fontId="40" fillId="0" borderId="16" xfId="0" applyNumberFormat="1" applyFont="1" applyBorder="1" applyAlignment="1">
      <alignment horizontal="right" vertical="center"/>
    </xf>
    <xf numFmtId="0" fontId="40" fillId="0" borderId="15" xfId="0" applyFont="1" applyBorder="1" applyAlignment="1">
      <alignment horizontal="center" vertical="center"/>
    </xf>
    <xf numFmtId="164" fontId="3" fillId="30" borderId="0" xfId="0" applyNumberFormat="1" applyFont="1" applyFill="1" applyAlignment="1">
      <alignment horizontal="right" vertical="center"/>
    </xf>
    <xf numFmtId="165" fontId="3" fillId="31" borderId="0" xfId="0" applyNumberFormat="1" applyFont="1" applyFill="1" applyAlignment="1">
      <alignment horizontal="right" vertical="center"/>
    </xf>
    <xf numFmtId="165" fontId="48" fillId="30" borderId="0" xfId="0" applyNumberFormat="1" applyFont="1" applyFill="1" applyAlignment="1">
      <alignment horizontal="right" vertical="center"/>
    </xf>
    <xf numFmtId="166" fontId="48" fillId="30" borderId="0" xfId="0" applyNumberFormat="1" applyFont="1" applyFill="1" applyAlignment="1">
      <alignment horizontal="right"/>
    </xf>
    <xf numFmtId="164" fontId="3" fillId="31" borderId="0" xfId="0" applyNumberFormat="1" applyFont="1" applyFill="1" applyAlignment="1">
      <alignment horizontal="right" vertical="center"/>
    </xf>
    <xf numFmtId="164" fontId="3" fillId="0" borderId="0" xfId="0" applyNumberFormat="1" applyFont="1" applyAlignment="1">
      <alignment horizontal="right" vertical="center"/>
    </xf>
    <xf numFmtId="164" fontId="3" fillId="5" borderId="0" xfId="0" applyNumberFormat="1" applyFont="1" applyFill="1" applyAlignment="1">
      <alignment horizontal="right" vertical="center"/>
    </xf>
    <xf numFmtId="0" fontId="49" fillId="0" borderId="1" xfId="0" applyFont="1" applyBorder="1" applyAlignment="1">
      <alignment horizontal="left" vertical="center" indent="1"/>
    </xf>
    <xf numFmtId="0" fontId="49" fillId="0" borderId="1" xfId="0" applyFont="1" applyBorder="1" applyAlignment="1">
      <alignment horizontal="center" vertical="center"/>
    </xf>
    <xf numFmtId="0" fontId="3" fillId="0" borderId="0" xfId="0" applyFont="1" applyAlignment="1">
      <alignment horizontal="left" vertical="center" indent="1"/>
    </xf>
    <xf numFmtId="0" fontId="3" fillId="0" borderId="0" xfId="0" applyFont="1" applyAlignment="1">
      <alignment horizontal="left" vertical="center" indent="2"/>
    </xf>
    <xf numFmtId="0" fontId="7" fillId="5" borderId="0" xfId="0" applyFont="1" applyFill="1" applyAlignment="1">
      <alignment horizontal="left" vertical="center"/>
    </xf>
    <xf numFmtId="4" fontId="3" fillId="0" borderId="0" xfId="0" applyNumberFormat="1" applyFont="1" applyAlignment="1">
      <alignment horizontal="right" vertical="center"/>
    </xf>
    <xf numFmtId="0" fontId="3" fillId="0" borderId="0" xfId="0" applyFont="1" applyAlignment="1">
      <alignment horizontal="left" vertical="center"/>
    </xf>
    <xf numFmtId="0" fontId="7" fillId="5" borderId="0" xfId="0" applyFont="1" applyFill="1" applyAlignment="1">
      <alignment horizontal="left" vertical="center" indent="1"/>
    </xf>
    <xf numFmtId="0" fontId="7" fillId="4" borderId="0" xfId="0" applyFont="1" applyFill="1" applyAlignment="1">
      <alignment horizontal="center" vertical="center"/>
    </xf>
    <xf numFmtId="0" fontId="7" fillId="6" borderId="0" xfId="0" applyFont="1" applyFill="1" applyAlignment="1">
      <alignment horizontal="center" vertical="center"/>
    </xf>
    <xf numFmtId="0" fontId="7" fillId="0" borderId="0" xfId="0" applyFont="1" applyAlignment="1">
      <alignment horizontal="left" vertical="center"/>
    </xf>
    <xf numFmtId="0" fontId="48" fillId="0" borderId="0" xfId="0" applyFont="1" applyAlignment="1">
      <alignment horizontal="left" vertical="center"/>
    </xf>
    <xf numFmtId="0" fontId="48" fillId="0" borderId="0" xfId="0" applyFont="1" applyAlignment="1">
      <alignment horizontal="left" vertical="center" indent="1"/>
    </xf>
    <xf numFmtId="0" fontId="52" fillId="2" borderId="0" xfId="0" applyFont="1" applyFill="1" applyAlignment="1">
      <alignment horizontal="left" vertical="center"/>
    </xf>
    <xf numFmtId="164" fontId="52" fillId="2" borderId="0" xfId="0" applyNumberFormat="1" applyFont="1" applyFill="1" applyAlignment="1">
      <alignment horizontal="right" vertical="center"/>
    </xf>
    <xf numFmtId="165" fontId="48" fillId="0" borderId="0" xfId="0" applyNumberFormat="1" applyFont="1" applyAlignment="1">
      <alignment horizontal="right" vertical="center"/>
    </xf>
    <xf numFmtId="10" fontId="0" fillId="0" borderId="2" xfId="3" applyNumberFormat="1" applyFont="1" applyBorder="1"/>
    <xf numFmtId="0" fontId="0" fillId="0" borderId="0" xfId="0" pivotButton="1"/>
    <xf numFmtId="1" fontId="0" fillId="0" borderId="0" xfId="0" applyNumberFormat="1" applyAlignment="1">
      <alignment horizontal="left"/>
    </xf>
    <xf numFmtId="3" fontId="0" fillId="0" borderId="0" xfId="0" applyNumberFormat="1"/>
    <xf numFmtId="167" fontId="0" fillId="0" borderId="0" xfId="0" applyNumberFormat="1"/>
    <xf numFmtId="2" fontId="0" fillId="0" borderId="0" xfId="0" applyNumberFormat="1"/>
    <xf numFmtId="0" fontId="55" fillId="0" borderId="0" xfId="0" applyFont="1" applyAlignment="1">
      <alignment wrapText="1"/>
    </xf>
    <xf numFmtId="0" fontId="15" fillId="33" borderId="24" xfId="0" applyFont="1" applyFill="1" applyBorder="1"/>
    <xf numFmtId="0" fontId="36" fillId="33" borderId="25" xfId="0" applyFont="1" applyFill="1" applyBorder="1" applyAlignment="1">
      <alignment horizontal="center" vertical="center" wrapText="1"/>
    </xf>
    <xf numFmtId="0" fontId="39" fillId="0" borderId="0" xfId="0" applyFont="1" applyAlignment="1">
      <alignment horizontal="left" vertical="center"/>
    </xf>
    <xf numFmtId="0" fontId="39" fillId="0" borderId="0" xfId="0" applyFont="1"/>
    <xf numFmtId="4" fontId="40" fillId="0" borderId="0" xfId="0" applyNumberFormat="1" applyFont="1" applyAlignment="1">
      <alignment horizontal="right" vertical="center"/>
    </xf>
    <xf numFmtId="10" fontId="57" fillId="34" borderId="0" xfId="0" applyNumberFormat="1" applyFont="1" applyFill="1" applyAlignment="1">
      <alignment horizontal="center" vertical="center"/>
    </xf>
    <xf numFmtId="10" fontId="57" fillId="35" borderId="0" xfId="0" applyNumberFormat="1" applyFont="1" applyFill="1" applyAlignment="1">
      <alignment horizontal="right" vertical="center"/>
    </xf>
    <xf numFmtId="2" fontId="0" fillId="15" borderId="0" xfId="0" applyNumberFormat="1" applyFill="1"/>
    <xf numFmtId="0" fontId="21" fillId="0" borderId="0" xfId="0" applyFont="1"/>
    <xf numFmtId="165" fontId="48" fillId="4" borderId="0" xfId="0" applyNumberFormat="1" applyFont="1" applyFill="1" applyAlignment="1">
      <alignment horizontal="right" vertical="center"/>
    </xf>
    <xf numFmtId="165" fontId="48" fillId="6" borderId="0" xfId="0" applyNumberFormat="1" applyFont="1" applyFill="1" applyAlignment="1">
      <alignment horizontal="right" vertical="center"/>
    </xf>
    <xf numFmtId="43" fontId="31" fillId="0" borderId="2" xfId="2" applyFont="1" applyBorder="1"/>
    <xf numFmtId="14" fontId="0" fillId="0" borderId="14" xfId="0" applyNumberFormat="1" applyBorder="1"/>
    <xf numFmtId="0" fontId="26" fillId="13" borderId="0" xfId="0" applyFont="1" applyFill="1" applyAlignment="1">
      <alignment horizontal="center" wrapText="1"/>
    </xf>
    <xf numFmtId="0" fontId="20" fillId="13" borderId="11" xfId="0" applyFont="1" applyFill="1" applyBorder="1" applyAlignment="1">
      <alignment horizontal="center"/>
    </xf>
    <xf numFmtId="0" fontId="20" fillId="13" borderId="12" xfId="0" applyFont="1" applyFill="1" applyBorder="1" applyAlignment="1">
      <alignment horizontal="center"/>
    </xf>
    <xf numFmtId="0" fontId="27" fillId="13" borderId="11" xfId="0" applyFont="1" applyFill="1" applyBorder="1" applyAlignment="1">
      <alignment horizontal="center" wrapText="1"/>
    </xf>
    <xf numFmtId="0" fontId="27" fillId="13" borderId="17" xfId="0" applyFont="1" applyFill="1" applyBorder="1" applyAlignment="1">
      <alignment horizontal="center" wrapText="1"/>
    </xf>
    <xf numFmtId="0" fontId="27" fillId="13" borderId="12" xfId="0" applyFont="1" applyFill="1" applyBorder="1" applyAlignment="1">
      <alignment horizontal="center" wrapText="1"/>
    </xf>
    <xf numFmtId="0" fontId="27" fillId="13" borderId="11" xfId="0" applyFont="1" applyFill="1" applyBorder="1" applyAlignment="1">
      <alignment horizontal="center"/>
    </xf>
    <xf numFmtId="0" fontId="27" fillId="13" borderId="12" xfId="0" applyFont="1" applyFill="1" applyBorder="1" applyAlignment="1">
      <alignment horizontal="center"/>
    </xf>
    <xf numFmtId="0" fontId="29" fillId="13" borderId="11" xfId="0" applyFont="1" applyFill="1" applyBorder="1" applyAlignment="1">
      <alignment horizontal="center"/>
    </xf>
    <xf numFmtId="0" fontId="29" fillId="13" borderId="12" xfId="0" applyFont="1" applyFill="1" applyBorder="1" applyAlignment="1">
      <alignment horizontal="center"/>
    </xf>
    <xf numFmtId="0" fontId="0" fillId="0" borderId="0" xfId="0" applyAlignment="1">
      <alignment horizontal="center"/>
    </xf>
    <xf numFmtId="0" fontId="41" fillId="18" borderId="29" xfId="0" applyFont="1" applyFill="1" applyBorder="1" applyAlignment="1">
      <alignment horizontal="center" vertical="center"/>
    </xf>
    <xf numFmtId="0" fontId="41" fillId="19" borderId="29" xfId="0" applyFont="1" applyFill="1" applyBorder="1" applyAlignment="1">
      <alignment horizontal="center" vertical="center"/>
    </xf>
    <xf numFmtId="0" fontId="43" fillId="24" borderId="29" xfId="0" applyFont="1" applyFill="1" applyBorder="1" applyAlignment="1">
      <alignment horizontal="left" vertical="top" wrapText="1"/>
    </xf>
    <xf numFmtId="0" fontId="38" fillId="2" borderId="19" xfId="0" applyFont="1" applyFill="1" applyBorder="1" applyAlignment="1">
      <alignment horizontal="center" vertical="center"/>
    </xf>
    <xf numFmtId="0" fontId="36" fillId="18" borderId="29" xfId="0" applyFont="1" applyFill="1" applyBorder="1" applyAlignment="1">
      <alignment horizontal="center" vertical="center"/>
    </xf>
    <xf numFmtId="0" fontId="43" fillId="24" borderId="34" xfId="0" applyFont="1" applyFill="1" applyBorder="1" applyAlignment="1">
      <alignment horizontal="center" vertical="top" wrapText="1"/>
    </xf>
    <xf numFmtId="0" fontId="43" fillId="24" borderId="0" xfId="0" applyFont="1" applyFill="1" applyAlignment="1">
      <alignment horizontal="center" vertical="top" wrapText="1"/>
    </xf>
    <xf numFmtId="0" fontId="8" fillId="3" borderId="0" xfId="0" applyFont="1" applyFill="1" applyAlignment="1">
      <alignment horizontal="left" vertical="center"/>
    </xf>
    <xf numFmtId="0" fontId="10" fillId="2" borderId="0" xfId="0" applyFont="1" applyFill="1" applyAlignment="1">
      <alignment horizontal="center" vertical="center"/>
    </xf>
    <xf numFmtId="0" fontId="6" fillId="4" borderId="0" xfId="0" applyFont="1" applyFill="1" applyAlignment="1">
      <alignment horizontal="center" vertical="center"/>
    </xf>
    <xf numFmtId="0" fontId="4" fillId="2" borderId="0" xfId="0" applyFont="1" applyFill="1" applyAlignment="1">
      <alignment horizontal="center" vertical="center"/>
    </xf>
    <xf numFmtId="0" fontId="5" fillId="3" borderId="0" xfId="0" applyFont="1" applyFill="1" applyAlignment="1">
      <alignment horizontal="center" vertical="center"/>
    </xf>
    <xf numFmtId="0" fontId="10" fillId="3" borderId="0" xfId="0" applyFont="1" applyFill="1" applyAlignment="1">
      <alignment horizontal="left" vertical="center"/>
    </xf>
    <xf numFmtId="0" fontId="6" fillId="6" borderId="0" xfId="0" applyFont="1" applyFill="1" applyAlignment="1">
      <alignment horizontal="center" vertical="center"/>
    </xf>
    <xf numFmtId="0" fontId="50" fillId="2" borderId="0" xfId="0" applyFont="1" applyFill="1" applyAlignment="1">
      <alignment horizontal="center" vertical="center"/>
    </xf>
    <xf numFmtId="0" fontId="51" fillId="3" borderId="0" xfId="0" applyFont="1" applyFill="1" applyAlignment="1">
      <alignment horizontal="center" vertical="center"/>
    </xf>
    <xf numFmtId="0" fontId="29" fillId="3" borderId="0" xfId="0" applyFont="1" applyFill="1" applyAlignment="1">
      <alignment horizontal="left" vertical="center"/>
    </xf>
    <xf numFmtId="0" fontId="7" fillId="4" borderId="0" xfId="0" applyFont="1" applyFill="1" applyAlignment="1">
      <alignment horizontal="center" vertical="center"/>
    </xf>
    <xf numFmtId="0" fontId="7" fillId="6" borderId="0" xfId="0" applyFont="1" applyFill="1" applyAlignment="1">
      <alignment horizontal="center" vertical="center"/>
    </xf>
    <xf numFmtId="0" fontId="47" fillId="13" borderId="0" xfId="0" applyFont="1" applyFill="1" applyAlignment="1">
      <alignment horizontal="center"/>
    </xf>
    <xf numFmtId="0" fontId="0" fillId="13" borderId="0" xfId="0" applyFill="1" applyAlignment="1">
      <alignment horizontal="center"/>
    </xf>
    <xf numFmtId="0" fontId="16" fillId="7" borderId="5" xfId="0" applyFont="1" applyFill="1" applyBorder="1" applyAlignment="1">
      <alignment horizontal="center"/>
    </xf>
    <xf numFmtId="0" fontId="16" fillId="7" borderId="6" xfId="0" applyFont="1" applyFill="1" applyBorder="1" applyAlignment="1">
      <alignment horizontal="center"/>
    </xf>
    <xf numFmtId="0" fontId="16" fillId="29" borderId="0" xfId="0" applyFont="1" applyFill="1" applyAlignment="1">
      <alignment horizontal="center"/>
    </xf>
    <xf numFmtId="0" fontId="16" fillId="7" borderId="3" xfId="0" applyFont="1" applyFill="1" applyBorder="1" applyAlignment="1">
      <alignment horizontal="center"/>
    </xf>
    <xf numFmtId="0" fontId="16" fillId="7" borderId="4" xfId="0" applyFont="1" applyFill="1" applyBorder="1" applyAlignment="1">
      <alignment horizontal="center"/>
    </xf>
    <xf numFmtId="0" fontId="0" fillId="9" borderId="5" xfId="0" applyFill="1" applyBorder="1" applyAlignment="1">
      <alignment horizontal="center" vertical="center"/>
    </xf>
    <xf numFmtId="0" fontId="0" fillId="9" borderId="6" xfId="0" applyFill="1" applyBorder="1" applyAlignment="1">
      <alignment horizontal="center" vertical="center"/>
    </xf>
    <xf numFmtId="0" fontId="0" fillId="9" borderId="7" xfId="0" applyFill="1" applyBorder="1" applyAlignment="1">
      <alignment horizontal="center" vertical="center"/>
    </xf>
    <xf numFmtId="0" fontId="0" fillId="9" borderId="8" xfId="0" applyFill="1" applyBorder="1" applyAlignment="1">
      <alignment horizontal="center" vertical="center"/>
    </xf>
    <xf numFmtId="0" fontId="46" fillId="29" borderId="0" xfId="0" applyFont="1" applyFill="1" applyAlignment="1">
      <alignment horizontal="center"/>
    </xf>
    <xf numFmtId="0" fontId="19" fillId="7" borderId="0" xfId="0" applyFont="1" applyFill="1" applyAlignment="1">
      <alignment horizontal="center" wrapText="1"/>
    </xf>
    <xf numFmtId="0" fontId="20" fillId="7" borderId="11" xfId="0" applyFont="1" applyFill="1" applyBorder="1" applyAlignment="1">
      <alignment horizontal="center" wrapText="1"/>
    </xf>
    <xf numFmtId="0" fontId="20" fillId="7" borderId="12" xfId="0" applyFont="1" applyFill="1" applyBorder="1" applyAlignment="1">
      <alignment horizontal="center" wrapText="1"/>
    </xf>
    <xf numFmtId="0" fontId="21" fillId="7" borderId="11" xfId="0" applyFont="1" applyFill="1" applyBorder="1" applyAlignment="1">
      <alignment horizontal="center"/>
    </xf>
    <xf numFmtId="0" fontId="21" fillId="7" borderId="12" xfId="0" applyFont="1" applyFill="1" applyBorder="1" applyAlignment="1">
      <alignment horizontal="center"/>
    </xf>
    <xf numFmtId="0" fontId="20" fillId="7" borderId="11" xfId="0" applyFont="1" applyFill="1" applyBorder="1" applyAlignment="1">
      <alignment horizontal="center"/>
    </xf>
    <xf numFmtId="0" fontId="20" fillId="7" borderId="17" xfId="0" applyFont="1" applyFill="1" applyBorder="1" applyAlignment="1">
      <alignment horizontal="center"/>
    </xf>
    <xf numFmtId="0" fontId="20" fillId="7" borderId="12" xfId="0" applyFont="1" applyFill="1" applyBorder="1" applyAlignment="1">
      <alignment horizontal="center"/>
    </xf>
    <xf numFmtId="0" fontId="33" fillId="16" borderId="19" xfId="0" applyFont="1" applyFill="1" applyBorder="1" applyAlignment="1">
      <alignment horizontal="center" vertical="center" wrapText="1"/>
    </xf>
    <xf numFmtId="0" fontId="8" fillId="17" borderId="25" xfId="0" applyFont="1" applyFill="1" applyBorder="1" applyAlignment="1">
      <alignment horizontal="center" vertical="center" wrapText="1"/>
    </xf>
    <xf numFmtId="0" fontId="35" fillId="7" borderId="0" xfId="0" applyFont="1" applyFill="1" applyAlignment="1">
      <alignment horizontal="center" wrapText="1"/>
    </xf>
    <xf numFmtId="0" fontId="54" fillId="7" borderId="0" xfId="0" applyFont="1" applyFill="1" applyAlignment="1">
      <alignment horizontal="center"/>
    </xf>
    <xf numFmtId="0" fontId="56" fillId="32" borderId="0" xfId="0" applyFont="1" applyFill="1" applyAlignment="1">
      <alignment horizontal="center" wrapText="1"/>
    </xf>
    <xf numFmtId="0" fontId="53" fillId="32" borderId="0" xfId="0" applyFont="1" applyFill="1" applyAlignment="1">
      <alignment horizontal="center" wrapText="1"/>
    </xf>
    <xf numFmtId="0" fontId="5" fillId="0" borderId="0" xfId="0" applyFont="1" applyFill="1" applyAlignment="1">
      <alignment vertical="center"/>
    </xf>
    <xf numFmtId="0" fontId="35" fillId="7" borderId="0" xfId="0" applyFont="1" applyFill="1"/>
    <xf numFmtId="0" fontId="58" fillId="0" borderId="0" xfId="0" applyFont="1"/>
    <xf numFmtId="9" fontId="58" fillId="0" borderId="0" xfId="0" applyNumberFormat="1" applyFont="1"/>
    <xf numFmtId="0" fontId="59" fillId="0" borderId="0" xfId="0" applyFont="1"/>
  </cellXfs>
  <cellStyles count="5">
    <cellStyle name="Comma" xfId="2" builtinId="3"/>
    <cellStyle name="Hyperlink" xfId="4" builtinId="8"/>
    <cellStyle name="Normal" xfId="0" builtinId="0"/>
    <cellStyle name="Normal 2" xfId="1" xr:uid="{A2AA1D0D-7D77-4E12-AA15-98B2533C8490}"/>
    <cellStyle name="Percent" xfId="3"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EEAF1"/>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Varun</a:t>
            </a:r>
            <a:r>
              <a:rPr lang="en-IN" baseline="0"/>
              <a:t> Beverages Share Price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Beta!$B$3</c:f>
              <c:strCache>
                <c:ptCount val="1"/>
                <c:pt idx="0">
                  <c:v>Close Price</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numRef>
              <c:f>Beta!$A$4:$A$2272</c:f>
              <c:numCache>
                <c:formatCode>mmm\-yy</c:formatCode>
                <c:ptCount val="2269"/>
                <c:pt idx="0">
                  <c:v>42675</c:v>
                </c:pt>
                <c:pt idx="1">
                  <c:v>42705</c:v>
                </c:pt>
                <c:pt idx="2">
                  <c:v>42736</c:v>
                </c:pt>
                <c:pt idx="3">
                  <c:v>42767</c:v>
                </c:pt>
                <c:pt idx="4">
                  <c:v>42795</c:v>
                </c:pt>
                <c:pt idx="5">
                  <c:v>42826</c:v>
                </c:pt>
                <c:pt idx="6">
                  <c:v>42856</c:v>
                </c:pt>
                <c:pt idx="7">
                  <c:v>42887</c:v>
                </c:pt>
                <c:pt idx="8">
                  <c:v>42917</c:v>
                </c:pt>
                <c:pt idx="9">
                  <c:v>42948</c:v>
                </c:pt>
                <c:pt idx="10">
                  <c:v>42979</c:v>
                </c:pt>
                <c:pt idx="11">
                  <c:v>43009</c:v>
                </c:pt>
                <c:pt idx="12">
                  <c:v>43040</c:v>
                </c:pt>
                <c:pt idx="13">
                  <c:v>43070</c:v>
                </c:pt>
                <c:pt idx="14">
                  <c:v>43101</c:v>
                </c:pt>
                <c:pt idx="15">
                  <c:v>43132</c:v>
                </c:pt>
                <c:pt idx="16">
                  <c:v>43160</c:v>
                </c:pt>
                <c:pt idx="17">
                  <c:v>43191</c:v>
                </c:pt>
                <c:pt idx="18">
                  <c:v>43221</c:v>
                </c:pt>
                <c:pt idx="19">
                  <c:v>43252</c:v>
                </c:pt>
                <c:pt idx="20">
                  <c:v>43282</c:v>
                </c:pt>
                <c:pt idx="21">
                  <c:v>43313</c:v>
                </c:pt>
                <c:pt idx="22">
                  <c:v>43344</c:v>
                </c:pt>
                <c:pt idx="23">
                  <c:v>43374</c:v>
                </c:pt>
                <c:pt idx="24">
                  <c:v>43405</c:v>
                </c:pt>
                <c:pt idx="25">
                  <c:v>43435</c:v>
                </c:pt>
                <c:pt idx="26">
                  <c:v>43466</c:v>
                </c:pt>
                <c:pt idx="27">
                  <c:v>43497</c:v>
                </c:pt>
                <c:pt idx="28">
                  <c:v>43525</c:v>
                </c:pt>
                <c:pt idx="29">
                  <c:v>43556</c:v>
                </c:pt>
                <c:pt idx="30">
                  <c:v>43586</c:v>
                </c:pt>
                <c:pt idx="31">
                  <c:v>43617</c:v>
                </c:pt>
                <c:pt idx="32">
                  <c:v>43647</c:v>
                </c:pt>
                <c:pt idx="33">
                  <c:v>43678</c:v>
                </c:pt>
                <c:pt idx="34">
                  <c:v>43709</c:v>
                </c:pt>
                <c:pt idx="35">
                  <c:v>43739</c:v>
                </c:pt>
                <c:pt idx="36">
                  <c:v>43770</c:v>
                </c:pt>
                <c:pt idx="37">
                  <c:v>43800</c:v>
                </c:pt>
                <c:pt idx="38">
                  <c:v>43831</c:v>
                </c:pt>
                <c:pt idx="39">
                  <c:v>43862</c:v>
                </c:pt>
                <c:pt idx="40">
                  <c:v>43891</c:v>
                </c:pt>
                <c:pt idx="41">
                  <c:v>43922</c:v>
                </c:pt>
                <c:pt idx="42">
                  <c:v>43952</c:v>
                </c:pt>
                <c:pt idx="43">
                  <c:v>43983</c:v>
                </c:pt>
                <c:pt idx="44">
                  <c:v>44013</c:v>
                </c:pt>
                <c:pt idx="45">
                  <c:v>44044</c:v>
                </c:pt>
                <c:pt idx="46">
                  <c:v>44075</c:v>
                </c:pt>
                <c:pt idx="47">
                  <c:v>44105</c:v>
                </c:pt>
                <c:pt idx="48">
                  <c:v>44136</c:v>
                </c:pt>
                <c:pt idx="49">
                  <c:v>44166</c:v>
                </c:pt>
                <c:pt idx="50">
                  <c:v>44197</c:v>
                </c:pt>
                <c:pt idx="51">
                  <c:v>44228</c:v>
                </c:pt>
                <c:pt idx="52">
                  <c:v>44256</c:v>
                </c:pt>
                <c:pt idx="53">
                  <c:v>44287</c:v>
                </c:pt>
                <c:pt idx="54">
                  <c:v>44317</c:v>
                </c:pt>
                <c:pt idx="55">
                  <c:v>44348</c:v>
                </c:pt>
                <c:pt idx="56">
                  <c:v>44378</c:v>
                </c:pt>
                <c:pt idx="57">
                  <c:v>44409</c:v>
                </c:pt>
                <c:pt idx="58">
                  <c:v>44440</c:v>
                </c:pt>
                <c:pt idx="59">
                  <c:v>44470</c:v>
                </c:pt>
                <c:pt idx="60">
                  <c:v>44501</c:v>
                </c:pt>
                <c:pt idx="61">
                  <c:v>44531</c:v>
                </c:pt>
                <c:pt idx="62">
                  <c:v>44562</c:v>
                </c:pt>
                <c:pt idx="63">
                  <c:v>44593</c:v>
                </c:pt>
                <c:pt idx="64">
                  <c:v>44621</c:v>
                </c:pt>
                <c:pt idx="65">
                  <c:v>44652</c:v>
                </c:pt>
                <c:pt idx="66">
                  <c:v>44682</c:v>
                </c:pt>
                <c:pt idx="67">
                  <c:v>44713</c:v>
                </c:pt>
                <c:pt idx="68">
                  <c:v>44743</c:v>
                </c:pt>
                <c:pt idx="69">
                  <c:v>44774</c:v>
                </c:pt>
                <c:pt idx="70">
                  <c:v>44805</c:v>
                </c:pt>
                <c:pt idx="71">
                  <c:v>44835</c:v>
                </c:pt>
                <c:pt idx="72">
                  <c:v>44866</c:v>
                </c:pt>
                <c:pt idx="73">
                  <c:v>44896</c:v>
                </c:pt>
                <c:pt idx="74">
                  <c:v>44927</c:v>
                </c:pt>
                <c:pt idx="75">
                  <c:v>44958</c:v>
                </c:pt>
                <c:pt idx="76">
                  <c:v>44986</c:v>
                </c:pt>
                <c:pt idx="77">
                  <c:v>45017</c:v>
                </c:pt>
                <c:pt idx="78">
                  <c:v>45047</c:v>
                </c:pt>
                <c:pt idx="79">
                  <c:v>45078</c:v>
                </c:pt>
                <c:pt idx="80">
                  <c:v>45108</c:v>
                </c:pt>
                <c:pt idx="81">
                  <c:v>45139</c:v>
                </c:pt>
                <c:pt idx="82">
                  <c:v>45170</c:v>
                </c:pt>
                <c:pt idx="83">
                  <c:v>45200</c:v>
                </c:pt>
                <c:pt idx="84">
                  <c:v>45231</c:v>
                </c:pt>
                <c:pt idx="85">
                  <c:v>45261</c:v>
                </c:pt>
                <c:pt idx="86">
                  <c:v>45292</c:v>
                </c:pt>
                <c:pt idx="87">
                  <c:v>45323</c:v>
                </c:pt>
                <c:pt idx="88">
                  <c:v>45352</c:v>
                </c:pt>
                <c:pt idx="89">
                  <c:v>45383</c:v>
                </c:pt>
                <c:pt idx="90">
                  <c:v>45413</c:v>
                </c:pt>
                <c:pt idx="91">
                  <c:v>45444</c:v>
                </c:pt>
                <c:pt idx="92">
                  <c:v>45474</c:v>
                </c:pt>
                <c:pt idx="93">
                  <c:v>45505</c:v>
                </c:pt>
                <c:pt idx="94">
                  <c:v>45536</c:v>
                </c:pt>
                <c:pt idx="95">
                  <c:v>45566</c:v>
                </c:pt>
                <c:pt idx="96">
                  <c:v>45597</c:v>
                </c:pt>
                <c:pt idx="97">
                  <c:v>45627</c:v>
                </c:pt>
                <c:pt idx="98">
                  <c:v>45658</c:v>
                </c:pt>
                <c:pt idx="99">
                  <c:v>45689</c:v>
                </c:pt>
                <c:pt idx="100">
                  <c:v>45717</c:v>
                </c:pt>
                <c:pt idx="101">
                  <c:v>45748</c:v>
                </c:pt>
                <c:pt idx="102">
                  <c:v>45778</c:v>
                </c:pt>
                <c:pt idx="103">
                  <c:v>45809</c:v>
                </c:pt>
                <c:pt idx="104">
                  <c:v>45839</c:v>
                </c:pt>
                <c:pt idx="105">
                  <c:v>45870</c:v>
                </c:pt>
                <c:pt idx="106">
                  <c:v>45901</c:v>
                </c:pt>
                <c:pt idx="107">
                  <c:v>45931</c:v>
                </c:pt>
                <c:pt idx="108">
                  <c:v>45962</c:v>
                </c:pt>
                <c:pt idx="109">
                  <c:v>45992</c:v>
                </c:pt>
                <c:pt idx="110">
                  <c:v>46023</c:v>
                </c:pt>
                <c:pt idx="111">
                  <c:v>46054</c:v>
                </c:pt>
                <c:pt idx="112">
                  <c:v>46082</c:v>
                </c:pt>
                <c:pt idx="113">
                  <c:v>46113</c:v>
                </c:pt>
              </c:numCache>
            </c:numRef>
          </c:cat>
          <c:val>
            <c:numRef>
              <c:f>Beta!$B$4:$B$2272</c:f>
              <c:numCache>
                <c:formatCode>General</c:formatCode>
                <c:ptCount val="2269"/>
                <c:pt idx="0">
                  <c:v>436.55</c:v>
                </c:pt>
                <c:pt idx="1">
                  <c:v>381.35</c:v>
                </c:pt>
                <c:pt idx="2">
                  <c:v>399.45</c:v>
                </c:pt>
                <c:pt idx="3">
                  <c:v>388.65</c:v>
                </c:pt>
                <c:pt idx="4">
                  <c:v>404.75</c:v>
                </c:pt>
                <c:pt idx="5">
                  <c:v>470.85</c:v>
                </c:pt>
                <c:pt idx="6">
                  <c:v>497.55</c:v>
                </c:pt>
                <c:pt idx="7">
                  <c:v>533.54999999999995</c:v>
                </c:pt>
                <c:pt idx="8">
                  <c:v>500.2</c:v>
                </c:pt>
                <c:pt idx="9">
                  <c:v>524.29999999999995</c:v>
                </c:pt>
                <c:pt idx="10">
                  <c:v>505.8</c:v>
                </c:pt>
                <c:pt idx="11">
                  <c:v>501.25</c:v>
                </c:pt>
                <c:pt idx="12">
                  <c:v>509.3</c:v>
                </c:pt>
                <c:pt idx="13">
                  <c:v>651.35</c:v>
                </c:pt>
                <c:pt idx="14">
                  <c:v>691.05</c:v>
                </c:pt>
                <c:pt idx="15">
                  <c:v>649.04999999999995</c:v>
                </c:pt>
                <c:pt idx="16">
                  <c:v>617.4</c:v>
                </c:pt>
                <c:pt idx="17">
                  <c:v>652.20000000000005</c:v>
                </c:pt>
                <c:pt idx="18">
                  <c:v>766.35</c:v>
                </c:pt>
                <c:pt idx="19">
                  <c:v>753.25</c:v>
                </c:pt>
                <c:pt idx="20">
                  <c:v>752.3</c:v>
                </c:pt>
                <c:pt idx="21">
                  <c:v>816.7</c:v>
                </c:pt>
                <c:pt idx="22">
                  <c:v>739.8</c:v>
                </c:pt>
                <c:pt idx="23">
                  <c:v>808.4</c:v>
                </c:pt>
                <c:pt idx="24">
                  <c:v>782.2</c:v>
                </c:pt>
                <c:pt idx="25">
                  <c:v>787.15</c:v>
                </c:pt>
                <c:pt idx="26">
                  <c:v>819.2</c:v>
                </c:pt>
                <c:pt idx="27">
                  <c:v>804.2</c:v>
                </c:pt>
                <c:pt idx="28">
                  <c:v>865.15</c:v>
                </c:pt>
                <c:pt idx="29">
                  <c:v>875.7</c:v>
                </c:pt>
                <c:pt idx="30">
                  <c:v>934</c:v>
                </c:pt>
                <c:pt idx="31">
                  <c:v>945.25</c:v>
                </c:pt>
                <c:pt idx="32">
                  <c:v>640.65</c:v>
                </c:pt>
                <c:pt idx="33">
                  <c:v>641.15</c:v>
                </c:pt>
                <c:pt idx="34">
                  <c:v>625.25</c:v>
                </c:pt>
                <c:pt idx="35">
                  <c:v>619.75</c:v>
                </c:pt>
                <c:pt idx="36">
                  <c:v>729.25</c:v>
                </c:pt>
                <c:pt idx="37">
                  <c:v>707.95</c:v>
                </c:pt>
                <c:pt idx="38">
                  <c:v>772.3</c:v>
                </c:pt>
                <c:pt idx="39">
                  <c:v>806.7</c:v>
                </c:pt>
                <c:pt idx="40">
                  <c:v>530.54999999999995</c:v>
                </c:pt>
                <c:pt idx="41">
                  <c:v>671.15</c:v>
                </c:pt>
                <c:pt idx="42">
                  <c:v>632.29999999999995</c:v>
                </c:pt>
                <c:pt idx="43">
                  <c:v>682.7</c:v>
                </c:pt>
                <c:pt idx="44">
                  <c:v>707.55</c:v>
                </c:pt>
                <c:pt idx="45">
                  <c:v>736.1</c:v>
                </c:pt>
                <c:pt idx="46">
                  <c:v>698.8</c:v>
                </c:pt>
                <c:pt idx="47">
                  <c:v>654.70000000000005</c:v>
                </c:pt>
                <c:pt idx="48">
                  <c:v>873.25</c:v>
                </c:pt>
                <c:pt idx="49">
                  <c:v>915.45</c:v>
                </c:pt>
                <c:pt idx="50">
                  <c:v>899.95</c:v>
                </c:pt>
                <c:pt idx="51">
                  <c:v>1039.4000000000001</c:v>
                </c:pt>
                <c:pt idx="52">
                  <c:v>1005.9</c:v>
                </c:pt>
                <c:pt idx="53">
                  <c:v>951.3</c:v>
                </c:pt>
                <c:pt idx="54">
                  <c:v>1012.75</c:v>
                </c:pt>
                <c:pt idx="55">
                  <c:v>729.2</c:v>
                </c:pt>
                <c:pt idx="56">
                  <c:v>761.55</c:v>
                </c:pt>
                <c:pt idx="57">
                  <c:v>843.3</c:v>
                </c:pt>
                <c:pt idx="58">
                  <c:v>901.25</c:v>
                </c:pt>
                <c:pt idx="59">
                  <c:v>850.85</c:v>
                </c:pt>
                <c:pt idx="60">
                  <c:v>893.25</c:v>
                </c:pt>
                <c:pt idx="61">
                  <c:v>886.55</c:v>
                </c:pt>
                <c:pt idx="62">
                  <c:v>903.65</c:v>
                </c:pt>
                <c:pt idx="63">
                  <c:v>945</c:v>
                </c:pt>
                <c:pt idx="64">
                  <c:v>941.05</c:v>
                </c:pt>
                <c:pt idx="65">
                  <c:v>1084.3499999999999</c:v>
                </c:pt>
                <c:pt idx="66">
                  <c:v>1057.8</c:v>
                </c:pt>
                <c:pt idx="67">
                  <c:v>790.6</c:v>
                </c:pt>
                <c:pt idx="68">
                  <c:v>883.15</c:v>
                </c:pt>
                <c:pt idx="69">
                  <c:v>1033.8499999999999</c:v>
                </c:pt>
                <c:pt idx="70">
                  <c:v>1044</c:v>
                </c:pt>
                <c:pt idx="71">
                  <c:v>1050.1500000000001</c:v>
                </c:pt>
                <c:pt idx="72">
                  <c:v>1241.5999999999999</c:v>
                </c:pt>
                <c:pt idx="73">
                  <c:v>1322.5</c:v>
                </c:pt>
                <c:pt idx="74">
                  <c:v>1147.8499999999999</c:v>
                </c:pt>
                <c:pt idx="75">
                  <c:v>1302.75</c:v>
                </c:pt>
                <c:pt idx="76">
                  <c:v>1387.25</c:v>
                </c:pt>
                <c:pt idx="77">
                  <c:v>1443.8</c:v>
                </c:pt>
                <c:pt idx="78">
                  <c:v>1693.55</c:v>
                </c:pt>
                <c:pt idx="79">
                  <c:v>800.5</c:v>
                </c:pt>
                <c:pt idx="80">
                  <c:v>804.3</c:v>
                </c:pt>
                <c:pt idx="81">
                  <c:v>899.75</c:v>
                </c:pt>
                <c:pt idx="82">
                  <c:v>946.1</c:v>
                </c:pt>
                <c:pt idx="83">
                  <c:v>909.55</c:v>
                </c:pt>
                <c:pt idx="84">
                  <c:v>1105.3499999999999</c:v>
                </c:pt>
                <c:pt idx="85">
                  <c:v>1236.55</c:v>
                </c:pt>
                <c:pt idx="86">
                  <c:v>1280.0999999999999</c:v>
                </c:pt>
                <c:pt idx="87">
                  <c:v>1408.6</c:v>
                </c:pt>
                <c:pt idx="88">
                  <c:v>1398.1</c:v>
                </c:pt>
                <c:pt idx="89">
                  <c:v>1479</c:v>
                </c:pt>
                <c:pt idx="90">
                  <c:v>1425.55</c:v>
                </c:pt>
                <c:pt idx="91">
                  <c:v>1629.75</c:v>
                </c:pt>
                <c:pt idx="92">
                  <c:v>1577.7</c:v>
                </c:pt>
                <c:pt idx="93">
                  <c:v>1500.95</c:v>
                </c:pt>
                <c:pt idx="94">
                  <c:v>606.20000000000005</c:v>
                </c:pt>
                <c:pt idx="95">
                  <c:v>598.15</c:v>
                </c:pt>
                <c:pt idx="96">
                  <c:v>621</c:v>
                </c:pt>
                <c:pt idx="97">
                  <c:v>638.45000000000005</c:v>
                </c:pt>
                <c:pt idx="98">
                  <c:v>536.70000000000005</c:v>
                </c:pt>
                <c:pt idx="99">
                  <c:v>435.45</c:v>
                </c:pt>
                <c:pt idx="100">
                  <c:v>539.6</c:v>
                </c:pt>
                <c:pt idx="101">
                  <c:v>521</c:v>
                </c:pt>
                <c:pt idx="102">
                  <c:v>475.9</c:v>
                </c:pt>
                <c:pt idx="103">
                  <c:v>457.55</c:v>
                </c:pt>
                <c:pt idx="104">
                  <c:v>522.6</c:v>
                </c:pt>
                <c:pt idx="105">
                  <c:v>486.5</c:v>
                </c:pt>
                <c:pt idx="106">
                  <c:v>443.55</c:v>
                </c:pt>
                <c:pt idx="107">
                  <c:v>469.7</c:v>
                </c:pt>
                <c:pt idx="108">
                  <c:v>481.5</c:v>
                </c:pt>
                <c:pt idx="109">
                  <c:v>489.85</c:v>
                </c:pt>
                <c:pt idx="110">
                  <c:v>470.85</c:v>
                </c:pt>
                <c:pt idx="111">
                  <c:v>450.95</c:v>
                </c:pt>
                <c:pt idx="112">
                  <c:v>384.05</c:v>
                </c:pt>
                <c:pt idx="113">
                  <c:v>403.9</c:v>
                </c:pt>
              </c:numCache>
            </c:numRef>
          </c:val>
          <c:smooth val="0"/>
          <c:extLst>
            <c:ext xmlns:c16="http://schemas.microsoft.com/office/drawing/2014/chart" uri="{C3380CC4-5D6E-409C-BE32-E72D297353CC}">
              <c16:uniqueId val="{00000001-6978-4DE5-A650-FDA81D10CF26}"/>
            </c:ext>
          </c:extLst>
        </c:ser>
        <c:dLbls>
          <c:showLegendKey val="0"/>
          <c:showVal val="0"/>
          <c:showCatName val="0"/>
          <c:showSerName val="0"/>
          <c:showPercent val="0"/>
          <c:showBubbleSize val="0"/>
        </c:dLbls>
        <c:smooth val="0"/>
        <c:axId val="381437120"/>
        <c:axId val="381436640"/>
      </c:lineChart>
      <c:dateAx>
        <c:axId val="38143712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436640"/>
        <c:crosses val="autoZero"/>
        <c:auto val="1"/>
        <c:lblOffset val="100"/>
        <c:baseTimeUnit val="days"/>
      </c:dateAx>
      <c:valAx>
        <c:axId val="38143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43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Debt</a:t>
            </a:r>
            <a:r>
              <a:rPr lang="en-IN" baseline="0"/>
              <a:t> -Equity Ratio</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AC-4C64-A717-33F7BC03BC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AC-4C64-A717-33F7BC03BC24}"/>
              </c:ext>
            </c:extLst>
          </c:dPt>
          <c:cat>
            <c:strRef>
              <c:f>WACC!$A$8:$A$9</c:f>
              <c:strCache>
                <c:ptCount val="2"/>
                <c:pt idx="0">
                  <c:v>% of debt</c:v>
                </c:pt>
                <c:pt idx="1">
                  <c:v>% of Equity</c:v>
                </c:pt>
              </c:strCache>
            </c:strRef>
          </c:cat>
          <c:val>
            <c:numRef>
              <c:f>WACC!$B$8:$B$9</c:f>
              <c:numCache>
                <c:formatCode>0.00%</c:formatCode>
                <c:ptCount val="2"/>
                <c:pt idx="0" formatCode="0.000%">
                  <c:v>1.9647764437896408E-2</c:v>
                </c:pt>
                <c:pt idx="1">
                  <c:v>0.9803522355621036</c:v>
                </c:pt>
              </c:numCache>
            </c:numRef>
          </c:val>
          <c:extLst>
            <c:ext xmlns:c16="http://schemas.microsoft.com/office/drawing/2014/chart" uri="{C3380CC4-5D6E-409C-BE32-E72D297353CC}">
              <c16:uniqueId val="{00000000-DEBA-469F-9000-6BDCE263E4B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Market</a:t>
            </a:r>
            <a:r>
              <a:rPr lang="en-IN" baseline="0"/>
              <a:t> value VS Fair Value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DCF!$A$33:$A$35</c:f>
              <c:strCache>
                <c:ptCount val="3"/>
                <c:pt idx="0">
                  <c:v>CMP</c:v>
                </c:pt>
                <c:pt idx="1">
                  <c:v>Upside Potential</c:v>
                </c:pt>
                <c:pt idx="2">
                  <c:v>Fair Value</c:v>
                </c:pt>
              </c:strCache>
            </c:strRef>
          </c:cat>
          <c:val>
            <c:numRef>
              <c:f>DCF!$B$33:$B$35</c:f>
              <c:numCache>
                <c:formatCode>General</c:formatCode>
                <c:ptCount val="3"/>
                <c:pt idx="0">
                  <c:v>420</c:v>
                </c:pt>
                <c:pt idx="1">
                  <c:v>-398.24141583413189</c:v>
                </c:pt>
                <c:pt idx="2">
                  <c:v>21.758584165868104</c:v>
                </c:pt>
              </c:numCache>
            </c:numRef>
          </c:val>
          <c:extLst>
            <c:ext xmlns:c16="http://schemas.microsoft.com/office/drawing/2014/chart" uri="{C3380CC4-5D6E-409C-BE32-E72D297353CC}">
              <c16:uniqueId val="{00000000-47DD-4ABE-A21A-E8A2CF637099}"/>
            </c:ext>
          </c:extLst>
        </c:ser>
        <c:dLbls>
          <c:dLblPos val="outEnd"/>
          <c:showLegendKey val="0"/>
          <c:showVal val="1"/>
          <c:showCatName val="0"/>
          <c:showSerName val="0"/>
          <c:showPercent val="0"/>
          <c:showBubbleSize val="0"/>
        </c:dLbls>
        <c:gapWidth val="182"/>
        <c:axId val="1362556144"/>
        <c:axId val="1362553264"/>
      </c:barChart>
      <c:catAx>
        <c:axId val="1362556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553264"/>
        <c:crosses val="autoZero"/>
        <c:auto val="1"/>
        <c:lblAlgn val="ctr"/>
        <c:lblOffset val="100"/>
        <c:noMultiLvlLbl val="0"/>
      </c:catAx>
      <c:valAx>
        <c:axId val="1362553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5561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Operating</a:t>
            </a:r>
            <a:r>
              <a:rPr lang="en-IN" baseline="0"/>
              <a:t> Growth</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'Key Ratio Forecast'!$A$4</c:f>
              <c:strCache>
                <c:ptCount val="1"/>
                <c:pt idx="0">
                  <c:v>Operating Income</c:v>
                </c:pt>
              </c:strCache>
            </c:strRef>
          </c:tx>
          <c:spPr>
            <a:solidFill>
              <a:schemeClr val="accent1"/>
            </a:solidFill>
            <a:ln>
              <a:noFill/>
            </a:ln>
            <a:effectLst/>
          </c:spPr>
          <c:invertIfNegative val="0"/>
          <c:val>
            <c:numRef>
              <c:f>'Key Ratio Forecast'!$B$4:$G$4</c:f>
              <c:numCache>
                <c:formatCode>_(* #,##0.00_);_(* \(#,##0.00\);_(* "-"??_);_(@_)</c:formatCode>
                <c:ptCount val="6"/>
                <c:pt idx="0">
                  <c:v>4278.8900000000003</c:v>
                </c:pt>
                <c:pt idx="1">
                  <c:v>3711.4526369777705</c:v>
                </c:pt>
                <c:pt idx="2">
                  <c:v>4156.8269534151023</c:v>
                </c:pt>
                <c:pt idx="3">
                  <c:v>4655.6461878249174</c:v>
                </c:pt>
                <c:pt idx="4">
                  <c:v>5214.3237303639035</c:v>
                </c:pt>
                <c:pt idx="5">
                  <c:v>5840.0425780075711</c:v>
                </c:pt>
              </c:numCache>
            </c:numRef>
          </c:val>
          <c:extLst>
            <c:ext xmlns:c16="http://schemas.microsoft.com/office/drawing/2014/chart" uri="{C3380CC4-5D6E-409C-BE32-E72D297353CC}">
              <c16:uniqueId val="{00000000-09BF-4F53-A3F4-2505686288BD}"/>
            </c:ext>
          </c:extLst>
        </c:ser>
        <c:dLbls>
          <c:showLegendKey val="0"/>
          <c:showVal val="0"/>
          <c:showCatName val="0"/>
          <c:showSerName val="0"/>
          <c:showPercent val="0"/>
          <c:showBubbleSize val="0"/>
        </c:dLbls>
        <c:gapWidth val="219"/>
        <c:overlap val="-27"/>
        <c:axId val="1141115936"/>
        <c:axId val="1141125056"/>
      </c:barChart>
      <c:lineChart>
        <c:grouping val="standard"/>
        <c:varyColors val="0"/>
        <c:ser>
          <c:idx val="1"/>
          <c:order val="1"/>
          <c:tx>
            <c:strRef>
              <c:f>'Key Ratio Forecast'!$A$5</c:f>
              <c:strCache>
                <c:ptCount val="1"/>
                <c:pt idx="0">
                  <c:v>EBIT Growth</c:v>
                </c:pt>
              </c:strCache>
            </c:strRef>
          </c:tx>
          <c:spPr>
            <a:ln w="28575" cap="rnd">
              <a:solidFill>
                <a:schemeClr val="accent2"/>
              </a:solidFill>
              <a:round/>
            </a:ln>
            <a:effectLst/>
          </c:spPr>
          <c:marker>
            <c:symbol val="none"/>
          </c:marker>
          <c:val>
            <c:numRef>
              <c:f>'Key Ratio Forecast'!$B$5:$G$5</c:f>
              <c:numCache>
                <c:formatCode>0%</c:formatCode>
                <c:ptCount val="6"/>
                <c:pt idx="0">
                  <c:v>0.29166191517103324</c:v>
                </c:pt>
                <c:pt idx="1">
                  <c:v>0.17614434953989944</c:v>
                </c:pt>
                <c:pt idx="2">
                  <c:v>0.1734035886040354</c:v>
                </c:pt>
                <c:pt idx="3">
                  <c:v>0.17095648062558552</c:v>
                </c:pt>
                <c:pt idx="4">
                  <c:v>0.16877156278768354</c:v>
                </c:pt>
                <c:pt idx="5">
                  <c:v>0.1668207432895569</c:v>
                </c:pt>
              </c:numCache>
            </c:numRef>
          </c:val>
          <c:smooth val="0"/>
          <c:extLst>
            <c:ext xmlns:c16="http://schemas.microsoft.com/office/drawing/2014/chart" uri="{C3380CC4-5D6E-409C-BE32-E72D297353CC}">
              <c16:uniqueId val="{00000001-09BF-4F53-A3F4-2505686288BD}"/>
            </c:ext>
          </c:extLst>
        </c:ser>
        <c:dLbls>
          <c:showLegendKey val="0"/>
          <c:showVal val="0"/>
          <c:showCatName val="0"/>
          <c:showSerName val="0"/>
          <c:showPercent val="0"/>
          <c:showBubbleSize val="0"/>
        </c:dLbls>
        <c:marker val="1"/>
        <c:smooth val="0"/>
        <c:axId val="1141114976"/>
        <c:axId val="1141116416"/>
      </c:lineChart>
      <c:catAx>
        <c:axId val="114111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125056"/>
        <c:crosses val="autoZero"/>
        <c:auto val="1"/>
        <c:lblAlgn val="ctr"/>
        <c:lblOffset val="100"/>
        <c:noMultiLvlLbl val="0"/>
      </c:catAx>
      <c:valAx>
        <c:axId val="114112505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115936"/>
        <c:crosses val="autoZero"/>
        <c:crossBetween val="between"/>
      </c:valAx>
      <c:valAx>
        <c:axId val="114111641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114976"/>
        <c:crosses val="max"/>
        <c:crossBetween val="between"/>
      </c:valAx>
      <c:catAx>
        <c:axId val="1141114976"/>
        <c:scaling>
          <c:orientation val="minMax"/>
        </c:scaling>
        <c:delete val="1"/>
        <c:axPos val="b"/>
        <c:majorTickMark val="none"/>
        <c:minorTickMark val="none"/>
        <c:tickLblPos val="nextTo"/>
        <c:crossAx val="11411164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EBITDA</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'Key Ratio Forecast'!$A$6</c:f>
              <c:strCache>
                <c:ptCount val="1"/>
                <c:pt idx="0">
                  <c:v>EBITDA</c:v>
                </c:pt>
              </c:strCache>
            </c:strRef>
          </c:tx>
          <c:spPr>
            <a:solidFill>
              <a:schemeClr val="accent1"/>
            </a:solidFill>
            <a:ln>
              <a:noFill/>
            </a:ln>
            <a:effectLst/>
          </c:spPr>
          <c:invertIfNegative val="0"/>
          <c:val>
            <c:numRef>
              <c:f>'Key Ratio Forecast'!$B$6:$G$6</c:f>
              <c:numCache>
                <c:formatCode>_(* #,##0.00_);_(* \(#,##0.00\);_(* "-"??_);_(@_)</c:formatCode>
                <c:ptCount val="6"/>
                <c:pt idx="0">
                  <c:v>4278.8900000000003</c:v>
                </c:pt>
                <c:pt idx="1">
                  <c:v>3711.4526369777705</c:v>
                </c:pt>
                <c:pt idx="2">
                  <c:v>4156.8269534151023</c:v>
                </c:pt>
                <c:pt idx="3">
                  <c:v>4655.6461878249174</c:v>
                </c:pt>
                <c:pt idx="4">
                  <c:v>5214.3237303639035</c:v>
                </c:pt>
                <c:pt idx="5">
                  <c:v>5840.0425780075711</c:v>
                </c:pt>
              </c:numCache>
            </c:numRef>
          </c:val>
          <c:extLst>
            <c:ext xmlns:c16="http://schemas.microsoft.com/office/drawing/2014/chart" uri="{C3380CC4-5D6E-409C-BE32-E72D297353CC}">
              <c16:uniqueId val="{00000000-131B-4A38-BE80-7383E43E4C4C}"/>
            </c:ext>
          </c:extLst>
        </c:ser>
        <c:dLbls>
          <c:showLegendKey val="0"/>
          <c:showVal val="0"/>
          <c:showCatName val="0"/>
          <c:showSerName val="0"/>
          <c:showPercent val="0"/>
          <c:showBubbleSize val="0"/>
        </c:dLbls>
        <c:gapWidth val="219"/>
        <c:overlap val="-27"/>
        <c:axId val="1141155776"/>
        <c:axId val="1141141376"/>
      </c:barChart>
      <c:lineChart>
        <c:grouping val="standard"/>
        <c:varyColors val="0"/>
        <c:ser>
          <c:idx val="1"/>
          <c:order val="1"/>
          <c:tx>
            <c:strRef>
              <c:f>'Key Ratio Forecast'!$A$7</c:f>
              <c:strCache>
                <c:ptCount val="1"/>
                <c:pt idx="0">
                  <c:v>EBITDA Margin (%)</c:v>
                </c:pt>
              </c:strCache>
            </c:strRef>
          </c:tx>
          <c:spPr>
            <a:ln w="28575" cap="rnd">
              <a:solidFill>
                <a:schemeClr val="accent2"/>
              </a:solidFill>
              <a:round/>
            </a:ln>
            <a:effectLst/>
          </c:spPr>
          <c:marker>
            <c:symbol val="none"/>
          </c:marker>
          <c:val>
            <c:numRef>
              <c:f>'Key Ratio Forecast'!$B$7:$G$7</c:f>
              <c:numCache>
                <c:formatCode>0%</c:formatCode>
                <c:ptCount val="6"/>
                <c:pt idx="0">
                  <c:v>0.29394400700152923</c:v>
                </c:pt>
                <c:pt idx="1">
                  <c:v>0.22764566693148505</c:v>
                </c:pt>
                <c:pt idx="2">
                  <c:v>0.227645666931485</c:v>
                </c:pt>
                <c:pt idx="3">
                  <c:v>0.22764566693148511</c:v>
                </c:pt>
                <c:pt idx="4">
                  <c:v>0.22764566693148494</c:v>
                </c:pt>
                <c:pt idx="5">
                  <c:v>0.22764566693148489</c:v>
                </c:pt>
              </c:numCache>
            </c:numRef>
          </c:val>
          <c:smooth val="0"/>
          <c:extLst>
            <c:ext xmlns:c16="http://schemas.microsoft.com/office/drawing/2014/chart" uri="{C3380CC4-5D6E-409C-BE32-E72D297353CC}">
              <c16:uniqueId val="{00000001-131B-4A38-BE80-7383E43E4C4C}"/>
            </c:ext>
          </c:extLst>
        </c:ser>
        <c:dLbls>
          <c:showLegendKey val="0"/>
          <c:showVal val="0"/>
          <c:showCatName val="0"/>
          <c:showSerName val="0"/>
          <c:showPercent val="0"/>
          <c:showBubbleSize val="0"/>
        </c:dLbls>
        <c:marker val="1"/>
        <c:smooth val="0"/>
        <c:axId val="1141156736"/>
        <c:axId val="1141147616"/>
      </c:lineChart>
      <c:catAx>
        <c:axId val="114115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141376"/>
        <c:crosses val="autoZero"/>
        <c:auto val="1"/>
        <c:lblAlgn val="ctr"/>
        <c:lblOffset val="100"/>
        <c:noMultiLvlLbl val="0"/>
      </c:catAx>
      <c:valAx>
        <c:axId val="114114137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155776"/>
        <c:crosses val="autoZero"/>
        <c:crossBetween val="between"/>
      </c:valAx>
      <c:valAx>
        <c:axId val="114114761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156736"/>
        <c:crosses val="max"/>
        <c:crossBetween val="between"/>
      </c:valAx>
      <c:catAx>
        <c:axId val="1141156736"/>
        <c:scaling>
          <c:orientation val="minMax"/>
        </c:scaling>
        <c:delete val="1"/>
        <c:axPos val="b"/>
        <c:majorTickMark val="none"/>
        <c:minorTickMark val="none"/>
        <c:tickLblPos val="nextTo"/>
        <c:crossAx val="11411476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Reyurns</a:t>
            </a:r>
            <a:r>
              <a:rPr lang="en-IN" baseline="0"/>
              <a:t> Ratio</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'Key Ratio Forecast'!$A$10</c:f>
              <c:strCache>
                <c:ptCount val="1"/>
                <c:pt idx="0">
                  <c:v>ROCE (%)</c:v>
                </c:pt>
              </c:strCache>
            </c:strRef>
          </c:tx>
          <c:spPr>
            <a:solidFill>
              <a:schemeClr val="accent1"/>
            </a:solidFill>
            <a:ln>
              <a:noFill/>
            </a:ln>
            <a:effectLst/>
          </c:spPr>
          <c:invertIfNegative val="0"/>
          <c:val>
            <c:numRef>
              <c:f>'Key Ratio Forecast'!$B$10:$G$10</c:f>
              <c:numCache>
                <c:formatCode>0%</c:formatCode>
                <c:ptCount val="6"/>
                <c:pt idx="0">
                  <c:v>0.10373889971385455</c:v>
                </c:pt>
                <c:pt idx="1">
                  <c:v>0.10423339975137619</c:v>
                </c:pt>
                <c:pt idx="2">
                  <c:v>0.10471171691781396</c:v>
                </c:pt>
                <c:pt idx="3">
                  <c:v>0.10519023814581265</c:v>
                </c:pt>
                <c:pt idx="4">
                  <c:v>0.10567841349283211</c:v>
                </c:pt>
                <c:pt idx="5">
                  <c:v>0</c:v>
                </c:pt>
              </c:numCache>
            </c:numRef>
          </c:val>
          <c:extLst>
            <c:ext xmlns:c16="http://schemas.microsoft.com/office/drawing/2014/chart" uri="{C3380CC4-5D6E-409C-BE32-E72D297353CC}">
              <c16:uniqueId val="{00000000-CD89-40E4-B9EA-52210ECEA9A4}"/>
            </c:ext>
          </c:extLst>
        </c:ser>
        <c:ser>
          <c:idx val="1"/>
          <c:order val="1"/>
          <c:tx>
            <c:strRef>
              <c:f>'Key Ratio Forecast'!$A$11</c:f>
              <c:strCache>
                <c:ptCount val="1"/>
                <c:pt idx="0">
                  <c:v>ROE (%)</c:v>
                </c:pt>
              </c:strCache>
            </c:strRef>
          </c:tx>
          <c:spPr>
            <a:solidFill>
              <a:schemeClr val="accent2"/>
            </a:solidFill>
            <a:ln>
              <a:noFill/>
            </a:ln>
            <a:effectLst/>
          </c:spPr>
          <c:invertIfNegative val="0"/>
          <c:val>
            <c:numRef>
              <c:f>'Key Ratio Forecast'!$B$11:$G$11</c:f>
              <c:numCache>
                <c:formatCode>0%</c:formatCode>
                <c:ptCount val="6"/>
                <c:pt idx="0">
                  <c:v>0.10819740853674674</c:v>
                </c:pt>
                <c:pt idx="1">
                  <c:v>0.10812612138176839</c:v>
                </c:pt>
                <c:pt idx="2">
                  <c:v>0.10812549061594263</c:v>
                </c:pt>
                <c:pt idx="3">
                  <c:v>0.10819626563592692</c:v>
                </c:pt>
                <c:pt idx="4">
                  <c:v>0.10833522698865539</c:v>
                </c:pt>
                <c:pt idx="5">
                  <c:v>0</c:v>
                </c:pt>
              </c:numCache>
            </c:numRef>
          </c:val>
          <c:extLst>
            <c:ext xmlns:c16="http://schemas.microsoft.com/office/drawing/2014/chart" uri="{C3380CC4-5D6E-409C-BE32-E72D297353CC}">
              <c16:uniqueId val="{00000001-CD89-40E4-B9EA-52210ECEA9A4}"/>
            </c:ext>
          </c:extLst>
        </c:ser>
        <c:dLbls>
          <c:showLegendKey val="0"/>
          <c:showVal val="0"/>
          <c:showCatName val="0"/>
          <c:showSerName val="0"/>
          <c:showPercent val="0"/>
          <c:showBubbleSize val="0"/>
        </c:dLbls>
        <c:gapWidth val="219"/>
        <c:overlap val="-27"/>
        <c:axId val="1141149056"/>
        <c:axId val="1141149536"/>
      </c:barChart>
      <c:catAx>
        <c:axId val="114114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149536"/>
        <c:crosses val="autoZero"/>
        <c:auto val="1"/>
        <c:lblAlgn val="ctr"/>
        <c:lblOffset val="100"/>
        <c:noMultiLvlLbl val="0"/>
      </c:catAx>
      <c:valAx>
        <c:axId val="11411495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149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[SUBHAM EABV VARUN BEVERAGES.xlsx]PIVOT TABLE!PivotTable22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EBITDA</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TABLE'!$I$38:$I$39</c:f>
              <c:strCache>
                <c:ptCount val="1"/>
                <c:pt idx="0">
                  <c:v>Britannia Industries</c:v>
                </c:pt>
              </c:strCache>
            </c:strRef>
          </c:tx>
          <c:spPr>
            <a:ln w="28575" cap="rnd">
              <a:solidFill>
                <a:schemeClr val="accent1"/>
              </a:solidFill>
              <a:round/>
            </a:ln>
            <a:effectLst/>
          </c:spPr>
          <c:marker>
            <c:symbol val="none"/>
          </c:marker>
          <c:cat>
            <c:strRef>
              <c:f>'PIVOT TABLE'!$H$40:$H$47</c:f>
              <c:strCache>
                <c:ptCount val="7"/>
                <c:pt idx="0">
                  <c:v>2019</c:v>
                </c:pt>
                <c:pt idx="1">
                  <c:v>2020</c:v>
                </c:pt>
                <c:pt idx="2">
                  <c:v>2021</c:v>
                </c:pt>
                <c:pt idx="3">
                  <c:v>2022</c:v>
                </c:pt>
                <c:pt idx="4">
                  <c:v>2023</c:v>
                </c:pt>
                <c:pt idx="5">
                  <c:v>2024</c:v>
                </c:pt>
                <c:pt idx="6">
                  <c:v>2025</c:v>
                </c:pt>
              </c:strCache>
            </c:strRef>
          </c:cat>
          <c:val>
            <c:numRef>
              <c:f>'PIVOT TABLE'!$I$40:$I$47</c:f>
              <c:numCache>
                <c:formatCode>0.0%</c:formatCode>
                <c:ptCount val="7"/>
                <c:pt idx="0">
                  <c:v>0.121</c:v>
                </c:pt>
                <c:pt idx="1">
                  <c:v>0.14199999999999999</c:v>
                </c:pt>
                <c:pt idx="2">
                  <c:v>0.156</c:v>
                </c:pt>
                <c:pt idx="3">
                  <c:v>0.14799999999999999</c:v>
                </c:pt>
                <c:pt idx="4">
                  <c:v>0.158</c:v>
                </c:pt>
                <c:pt idx="5">
                  <c:v>0.16300000000000001</c:v>
                </c:pt>
                <c:pt idx="6">
                  <c:v>0.16800000000000001</c:v>
                </c:pt>
              </c:numCache>
            </c:numRef>
          </c:val>
          <c:smooth val="0"/>
          <c:extLst>
            <c:ext xmlns:c16="http://schemas.microsoft.com/office/drawing/2014/chart" uri="{C3380CC4-5D6E-409C-BE32-E72D297353CC}">
              <c16:uniqueId val="{00000000-0A6A-4AD5-87E7-0590339255BB}"/>
            </c:ext>
          </c:extLst>
        </c:ser>
        <c:ser>
          <c:idx val="1"/>
          <c:order val="1"/>
          <c:tx>
            <c:strRef>
              <c:f>'PIVOT TABLE'!$J$38:$J$39</c:f>
              <c:strCache>
                <c:ptCount val="1"/>
                <c:pt idx="0">
                  <c:v>Hindustan Unilever</c:v>
                </c:pt>
              </c:strCache>
            </c:strRef>
          </c:tx>
          <c:spPr>
            <a:ln w="28575" cap="rnd">
              <a:solidFill>
                <a:schemeClr val="accent2"/>
              </a:solidFill>
              <a:round/>
            </a:ln>
            <a:effectLst/>
          </c:spPr>
          <c:marker>
            <c:symbol val="none"/>
          </c:marker>
          <c:cat>
            <c:strRef>
              <c:f>'PIVOT TABLE'!$H$40:$H$47</c:f>
              <c:strCache>
                <c:ptCount val="7"/>
                <c:pt idx="0">
                  <c:v>2019</c:v>
                </c:pt>
                <c:pt idx="1">
                  <c:v>2020</c:v>
                </c:pt>
                <c:pt idx="2">
                  <c:v>2021</c:v>
                </c:pt>
                <c:pt idx="3">
                  <c:v>2022</c:v>
                </c:pt>
                <c:pt idx="4">
                  <c:v>2023</c:v>
                </c:pt>
                <c:pt idx="5">
                  <c:v>2024</c:v>
                </c:pt>
                <c:pt idx="6">
                  <c:v>2025</c:v>
                </c:pt>
              </c:strCache>
            </c:strRef>
          </c:cat>
          <c:val>
            <c:numRef>
              <c:f>'PIVOT TABLE'!$J$40:$J$47</c:f>
              <c:numCache>
                <c:formatCode>0.0%</c:formatCode>
                <c:ptCount val="7"/>
                <c:pt idx="0">
                  <c:v>0.22900000000000001</c:v>
                </c:pt>
                <c:pt idx="1">
                  <c:v>0.23100000000000001</c:v>
                </c:pt>
                <c:pt idx="2">
                  <c:v>0.23799999999999999</c:v>
                </c:pt>
                <c:pt idx="3">
                  <c:v>0.23200000000000001</c:v>
                </c:pt>
                <c:pt idx="4">
                  <c:v>0.23499999999999999</c:v>
                </c:pt>
                <c:pt idx="5">
                  <c:v>0.24</c:v>
                </c:pt>
                <c:pt idx="6">
                  <c:v>0.245</c:v>
                </c:pt>
              </c:numCache>
            </c:numRef>
          </c:val>
          <c:smooth val="0"/>
          <c:extLst>
            <c:ext xmlns:c16="http://schemas.microsoft.com/office/drawing/2014/chart" uri="{C3380CC4-5D6E-409C-BE32-E72D297353CC}">
              <c16:uniqueId val="{00000001-0A6A-4AD5-87E7-0590339255BB}"/>
            </c:ext>
          </c:extLst>
        </c:ser>
        <c:ser>
          <c:idx val="2"/>
          <c:order val="2"/>
          <c:tx>
            <c:strRef>
              <c:f>'PIVOT TABLE'!$K$38:$K$39</c:f>
              <c:strCache>
                <c:ptCount val="1"/>
                <c:pt idx="0">
                  <c:v>ITC Ltd</c:v>
                </c:pt>
              </c:strCache>
            </c:strRef>
          </c:tx>
          <c:spPr>
            <a:ln w="28575" cap="rnd">
              <a:solidFill>
                <a:schemeClr val="accent3"/>
              </a:solidFill>
              <a:round/>
            </a:ln>
            <a:effectLst/>
          </c:spPr>
          <c:marker>
            <c:symbol val="none"/>
          </c:marker>
          <c:cat>
            <c:strRef>
              <c:f>'PIVOT TABLE'!$H$40:$H$47</c:f>
              <c:strCache>
                <c:ptCount val="7"/>
                <c:pt idx="0">
                  <c:v>2019</c:v>
                </c:pt>
                <c:pt idx="1">
                  <c:v>2020</c:v>
                </c:pt>
                <c:pt idx="2">
                  <c:v>2021</c:v>
                </c:pt>
                <c:pt idx="3">
                  <c:v>2022</c:v>
                </c:pt>
                <c:pt idx="4">
                  <c:v>2023</c:v>
                </c:pt>
                <c:pt idx="5">
                  <c:v>2024</c:v>
                </c:pt>
                <c:pt idx="6">
                  <c:v>2025</c:v>
                </c:pt>
              </c:strCache>
            </c:strRef>
          </c:cat>
          <c:val>
            <c:numRef>
              <c:f>'PIVOT TABLE'!$K$40:$K$47</c:f>
              <c:numCache>
                <c:formatCode>0.0%</c:formatCode>
                <c:ptCount val="7"/>
                <c:pt idx="0">
                  <c:v>0.34200000000000003</c:v>
                </c:pt>
                <c:pt idx="1">
                  <c:v>0.31900000000000001</c:v>
                </c:pt>
                <c:pt idx="2">
                  <c:v>0.32800000000000001</c:v>
                </c:pt>
                <c:pt idx="3">
                  <c:v>0.35199999999999998</c:v>
                </c:pt>
                <c:pt idx="4">
                  <c:v>0.36099999999999999</c:v>
                </c:pt>
                <c:pt idx="5">
                  <c:v>0.35799999999999998</c:v>
                </c:pt>
                <c:pt idx="6">
                  <c:v>0.36299999999999999</c:v>
                </c:pt>
              </c:numCache>
            </c:numRef>
          </c:val>
          <c:smooth val="0"/>
          <c:extLst>
            <c:ext xmlns:c16="http://schemas.microsoft.com/office/drawing/2014/chart" uri="{C3380CC4-5D6E-409C-BE32-E72D297353CC}">
              <c16:uniqueId val="{00000002-0A6A-4AD5-87E7-0590339255BB}"/>
            </c:ext>
          </c:extLst>
        </c:ser>
        <c:ser>
          <c:idx val="3"/>
          <c:order val="3"/>
          <c:tx>
            <c:strRef>
              <c:f>'PIVOT TABLE'!$L$38:$L$39</c:f>
              <c:strCache>
                <c:ptCount val="1"/>
                <c:pt idx="0">
                  <c:v>Nestle India</c:v>
                </c:pt>
              </c:strCache>
            </c:strRef>
          </c:tx>
          <c:spPr>
            <a:ln w="28575" cap="rnd">
              <a:solidFill>
                <a:schemeClr val="accent4"/>
              </a:solidFill>
              <a:round/>
            </a:ln>
            <a:effectLst/>
          </c:spPr>
          <c:marker>
            <c:symbol val="none"/>
          </c:marker>
          <c:cat>
            <c:strRef>
              <c:f>'PIVOT TABLE'!$H$40:$H$47</c:f>
              <c:strCache>
                <c:ptCount val="7"/>
                <c:pt idx="0">
                  <c:v>2019</c:v>
                </c:pt>
                <c:pt idx="1">
                  <c:v>2020</c:v>
                </c:pt>
                <c:pt idx="2">
                  <c:v>2021</c:v>
                </c:pt>
                <c:pt idx="3">
                  <c:v>2022</c:v>
                </c:pt>
                <c:pt idx="4">
                  <c:v>2023</c:v>
                </c:pt>
                <c:pt idx="5">
                  <c:v>2024</c:v>
                </c:pt>
                <c:pt idx="6">
                  <c:v>2025</c:v>
                </c:pt>
              </c:strCache>
            </c:strRef>
          </c:cat>
          <c:val>
            <c:numRef>
              <c:f>'PIVOT TABLE'!$L$40:$L$47</c:f>
              <c:numCache>
                <c:formatCode>0.0%</c:formatCode>
                <c:ptCount val="7"/>
                <c:pt idx="0">
                  <c:v>0.221</c:v>
                </c:pt>
                <c:pt idx="1">
                  <c:v>0.23499999999999999</c:v>
                </c:pt>
                <c:pt idx="2">
                  <c:v>0.24099999999999999</c:v>
                </c:pt>
                <c:pt idx="3">
                  <c:v>0.23799999999999999</c:v>
                </c:pt>
                <c:pt idx="4">
                  <c:v>0.245</c:v>
                </c:pt>
                <c:pt idx="5">
                  <c:v>0.248</c:v>
                </c:pt>
                <c:pt idx="6">
                  <c:v>0.251</c:v>
                </c:pt>
              </c:numCache>
            </c:numRef>
          </c:val>
          <c:smooth val="0"/>
          <c:extLst>
            <c:ext xmlns:c16="http://schemas.microsoft.com/office/drawing/2014/chart" uri="{C3380CC4-5D6E-409C-BE32-E72D297353CC}">
              <c16:uniqueId val="{00000003-0A6A-4AD5-87E7-0590339255BB}"/>
            </c:ext>
          </c:extLst>
        </c:ser>
        <c:dLbls>
          <c:showLegendKey val="0"/>
          <c:showVal val="0"/>
          <c:showCatName val="0"/>
          <c:showSerName val="0"/>
          <c:showPercent val="0"/>
          <c:showBubbleSize val="0"/>
        </c:dLbls>
        <c:smooth val="0"/>
        <c:axId val="1141137536"/>
        <c:axId val="1141137056"/>
      </c:lineChart>
      <c:catAx>
        <c:axId val="114113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137056"/>
        <c:crosses val="autoZero"/>
        <c:auto val="1"/>
        <c:lblAlgn val="ctr"/>
        <c:lblOffset val="100"/>
        <c:noMultiLvlLbl val="0"/>
      </c:catAx>
      <c:valAx>
        <c:axId val="11411370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13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[SUBHAM EABV VARUN BEVERAGES.xlsx]PIVOT TABLE!PivotTable18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Current</a:t>
            </a:r>
            <a:r>
              <a:rPr lang="en-IN" baseline="0"/>
              <a:t> Ratio</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Britannia Industries</c:v>
                </c:pt>
              </c:strCache>
            </c:strRef>
          </c:tx>
          <c:spPr>
            <a:ln w="28575" cap="rnd">
              <a:solidFill>
                <a:schemeClr val="accent1"/>
              </a:solidFill>
              <a:round/>
            </a:ln>
            <a:effectLst/>
          </c:spPr>
          <c:marker>
            <c:symbol val="none"/>
          </c:marker>
          <c:cat>
            <c:strRef>
              <c:f>'PIVOT TABLE'!$A$40:$A$47</c:f>
              <c:strCache>
                <c:ptCount val="7"/>
                <c:pt idx="0">
                  <c:v>2019</c:v>
                </c:pt>
                <c:pt idx="1">
                  <c:v>2020</c:v>
                </c:pt>
                <c:pt idx="2">
                  <c:v>2021</c:v>
                </c:pt>
                <c:pt idx="3">
                  <c:v>2022</c:v>
                </c:pt>
                <c:pt idx="4">
                  <c:v>2023</c:v>
                </c:pt>
                <c:pt idx="5">
                  <c:v>2024</c:v>
                </c:pt>
                <c:pt idx="6">
                  <c:v>2025</c:v>
                </c:pt>
              </c:strCache>
            </c:strRef>
          </c:cat>
          <c:val>
            <c:numRef>
              <c:f>'PIVOT TABLE'!$B$40:$B$47</c:f>
              <c:numCache>
                <c:formatCode>0.00</c:formatCode>
                <c:ptCount val="7"/>
                <c:pt idx="0">
                  <c:v>0.62</c:v>
                </c:pt>
                <c:pt idx="1">
                  <c:v>0.71</c:v>
                </c:pt>
                <c:pt idx="2">
                  <c:v>0.78</c:v>
                </c:pt>
                <c:pt idx="3">
                  <c:v>0.82</c:v>
                </c:pt>
                <c:pt idx="4">
                  <c:v>0.89</c:v>
                </c:pt>
                <c:pt idx="5">
                  <c:v>0.92</c:v>
                </c:pt>
                <c:pt idx="6">
                  <c:v>0.96</c:v>
                </c:pt>
              </c:numCache>
            </c:numRef>
          </c:val>
          <c:smooth val="0"/>
          <c:extLst>
            <c:ext xmlns:c16="http://schemas.microsoft.com/office/drawing/2014/chart" uri="{C3380CC4-5D6E-409C-BE32-E72D297353CC}">
              <c16:uniqueId val="{00000000-1FC6-417D-B9CE-BF4823C36AA6}"/>
            </c:ext>
          </c:extLst>
        </c:ser>
        <c:ser>
          <c:idx val="1"/>
          <c:order val="1"/>
          <c:tx>
            <c:strRef>
              <c:f>'PIVOT TABLE'!$C$38:$C$39</c:f>
              <c:strCache>
                <c:ptCount val="1"/>
                <c:pt idx="0">
                  <c:v>Hindustan Unilever</c:v>
                </c:pt>
              </c:strCache>
            </c:strRef>
          </c:tx>
          <c:spPr>
            <a:ln w="28575" cap="rnd">
              <a:solidFill>
                <a:schemeClr val="accent2"/>
              </a:solidFill>
              <a:round/>
            </a:ln>
            <a:effectLst/>
          </c:spPr>
          <c:marker>
            <c:symbol val="none"/>
          </c:marker>
          <c:cat>
            <c:strRef>
              <c:f>'PIVOT TABLE'!$A$40:$A$47</c:f>
              <c:strCache>
                <c:ptCount val="7"/>
                <c:pt idx="0">
                  <c:v>2019</c:v>
                </c:pt>
                <c:pt idx="1">
                  <c:v>2020</c:v>
                </c:pt>
                <c:pt idx="2">
                  <c:v>2021</c:v>
                </c:pt>
                <c:pt idx="3">
                  <c:v>2022</c:v>
                </c:pt>
                <c:pt idx="4">
                  <c:v>2023</c:v>
                </c:pt>
                <c:pt idx="5">
                  <c:v>2024</c:v>
                </c:pt>
                <c:pt idx="6">
                  <c:v>2025</c:v>
                </c:pt>
              </c:strCache>
            </c:strRef>
          </c:cat>
          <c:val>
            <c:numRef>
              <c:f>'PIVOT TABLE'!$C$40:$C$47</c:f>
              <c:numCache>
                <c:formatCode>0.00</c:formatCode>
                <c:ptCount val="7"/>
                <c:pt idx="0">
                  <c:v>0.68</c:v>
                </c:pt>
                <c:pt idx="1">
                  <c:v>0.71</c:v>
                </c:pt>
                <c:pt idx="2">
                  <c:v>0.75</c:v>
                </c:pt>
                <c:pt idx="3">
                  <c:v>0.78</c:v>
                </c:pt>
                <c:pt idx="4">
                  <c:v>0.81</c:v>
                </c:pt>
                <c:pt idx="5">
                  <c:v>0.83</c:v>
                </c:pt>
                <c:pt idx="6">
                  <c:v>0.85</c:v>
                </c:pt>
              </c:numCache>
            </c:numRef>
          </c:val>
          <c:smooth val="0"/>
          <c:extLst>
            <c:ext xmlns:c16="http://schemas.microsoft.com/office/drawing/2014/chart" uri="{C3380CC4-5D6E-409C-BE32-E72D297353CC}">
              <c16:uniqueId val="{00000001-1FC6-417D-B9CE-BF4823C36AA6}"/>
            </c:ext>
          </c:extLst>
        </c:ser>
        <c:ser>
          <c:idx val="2"/>
          <c:order val="2"/>
          <c:tx>
            <c:strRef>
              <c:f>'PIVOT TABLE'!$D$38:$D$39</c:f>
              <c:strCache>
                <c:ptCount val="1"/>
                <c:pt idx="0">
                  <c:v>ITC Ltd</c:v>
                </c:pt>
              </c:strCache>
            </c:strRef>
          </c:tx>
          <c:spPr>
            <a:ln w="28575" cap="rnd">
              <a:solidFill>
                <a:schemeClr val="accent3"/>
              </a:solidFill>
              <a:round/>
            </a:ln>
            <a:effectLst/>
          </c:spPr>
          <c:marker>
            <c:symbol val="none"/>
          </c:marker>
          <c:cat>
            <c:strRef>
              <c:f>'PIVOT TABLE'!$A$40:$A$47</c:f>
              <c:strCache>
                <c:ptCount val="7"/>
                <c:pt idx="0">
                  <c:v>2019</c:v>
                </c:pt>
                <c:pt idx="1">
                  <c:v>2020</c:v>
                </c:pt>
                <c:pt idx="2">
                  <c:v>2021</c:v>
                </c:pt>
                <c:pt idx="3">
                  <c:v>2022</c:v>
                </c:pt>
                <c:pt idx="4">
                  <c:v>2023</c:v>
                </c:pt>
                <c:pt idx="5">
                  <c:v>2024</c:v>
                </c:pt>
                <c:pt idx="6">
                  <c:v>2025</c:v>
                </c:pt>
              </c:strCache>
            </c:strRef>
          </c:cat>
          <c:val>
            <c:numRef>
              <c:f>'PIVOT TABLE'!$D$40:$D$47</c:f>
              <c:numCache>
                <c:formatCode>0.00</c:formatCode>
                <c:ptCount val="7"/>
                <c:pt idx="0">
                  <c:v>2.5099999999999998</c:v>
                </c:pt>
                <c:pt idx="1">
                  <c:v>2.64</c:v>
                </c:pt>
                <c:pt idx="2">
                  <c:v>2.88</c:v>
                </c:pt>
                <c:pt idx="3">
                  <c:v>2.92</c:v>
                </c:pt>
                <c:pt idx="4">
                  <c:v>3.1</c:v>
                </c:pt>
                <c:pt idx="5">
                  <c:v>3.28</c:v>
                </c:pt>
                <c:pt idx="6">
                  <c:v>3.35</c:v>
                </c:pt>
              </c:numCache>
            </c:numRef>
          </c:val>
          <c:smooth val="0"/>
          <c:extLst>
            <c:ext xmlns:c16="http://schemas.microsoft.com/office/drawing/2014/chart" uri="{C3380CC4-5D6E-409C-BE32-E72D297353CC}">
              <c16:uniqueId val="{00000002-1FC6-417D-B9CE-BF4823C36AA6}"/>
            </c:ext>
          </c:extLst>
        </c:ser>
        <c:ser>
          <c:idx val="3"/>
          <c:order val="3"/>
          <c:tx>
            <c:strRef>
              <c:f>'PIVOT TABLE'!$E$38:$E$39</c:f>
              <c:strCache>
                <c:ptCount val="1"/>
                <c:pt idx="0">
                  <c:v>Nestle India</c:v>
                </c:pt>
              </c:strCache>
            </c:strRef>
          </c:tx>
          <c:spPr>
            <a:ln w="28575" cap="rnd">
              <a:solidFill>
                <a:schemeClr val="accent4"/>
              </a:solidFill>
              <a:round/>
            </a:ln>
            <a:effectLst/>
          </c:spPr>
          <c:marker>
            <c:symbol val="none"/>
          </c:marker>
          <c:cat>
            <c:strRef>
              <c:f>'PIVOT TABLE'!$A$40:$A$47</c:f>
              <c:strCache>
                <c:ptCount val="7"/>
                <c:pt idx="0">
                  <c:v>2019</c:v>
                </c:pt>
                <c:pt idx="1">
                  <c:v>2020</c:v>
                </c:pt>
                <c:pt idx="2">
                  <c:v>2021</c:v>
                </c:pt>
                <c:pt idx="3">
                  <c:v>2022</c:v>
                </c:pt>
                <c:pt idx="4">
                  <c:v>2023</c:v>
                </c:pt>
                <c:pt idx="5">
                  <c:v>2024</c:v>
                </c:pt>
                <c:pt idx="6">
                  <c:v>2025</c:v>
                </c:pt>
              </c:strCache>
            </c:strRef>
          </c:cat>
          <c:val>
            <c:numRef>
              <c:f>'PIVOT TABLE'!$E$40:$E$47</c:f>
              <c:numCache>
                <c:formatCode>0.00</c:formatCode>
                <c:ptCount val="7"/>
                <c:pt idx="0">
                  <c:v>0.55000000000000004</c:v>
                </c:pt>
                <c:pt idx="1">
                  <c:v>0.61</c:v>
                </c:pt>
                <c:pt idx="2">
                  <c:v>0.68</c:v>
                </c:pt>
                <c:pt idx="3">
                  <c:v>0.72</c:v>
                </c:pt>
                <c:pt idx="4">
                  <c:v>0.71</c:v>
                </c:pt>
                <c:pt idx="5">
                  <c:v>0.74</c:v>
                </c:pt>
                <c:pt idx="6">
                  <c:v>0.76</c:v>
                </c:pt>
              </c:numCache>
            </c:numRef>
          </c:val>
          <c:smooth val="0"/>
          <c:extLst>
            <c:ext xmlns:c16="http://schemas.microsoft.com/office/drawing/2014/chart" uri="{C3380CC4-5D6E-409C-BE32-E72D297353CC}">
              <c16:uniqueId val="{00000003-1FC6-417D-B9CE-BF4823C36AA6}"/>
            </c:ext>
          </c:extLst>
        </c:ser>
        <c:dLbls>
          <c:showLegendKey val="0"/>
          <c:showVal val="0"/>
          <c:showCatName val="0"/>
          <c:showSerName val="0"/>
          <c:showPercent val="0"/>
          <c:showBubbleSize val="0"/>
        </c:dLbls>
        <c:smooth val="0"/>
        <c:axId val="1141177856"/>
        <c:axId val="1141180736"/>
      </c:lineChart>
      <c:catAx>
        <c:axId val="114117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180736"/>
        <c:crosses val="autoZero"/>
        <c:auto val="1"/>
        <c:lblAlgn val="ctr"/>
        <c:lblOffset val="100"/>
        <c:noMultiLvlLbl val="0"/>
      </c:catAx>
      <c:valAx>
        <c:axId val="11411807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17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[SUBHAM EABV VARUN BEVERAGES.xlsx]PIVOT TABLE!PivotTable17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Return</a:t>
            </a:r>
            <a:r>
              <a:rPr lang="en-IN" baseline="0"/>
              <a:t> On Capital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TABLE'!$B$26:$B$27</c:f>
              <c:strCache>
                <c:ptCount val="1"/>
                <c:pt idx="0">
                  <c:v>Britannia Industries</c:v>
                </c:pt>
              </c:strCache>
            </c:strRef>
          </c:tx>
          <c:spPr>
            <a:ln w="28575" cap="rnd">
              <a:solidFill>
                <a:schemeClr val="accent1"/>
              </a:solidFill>
              <a:round/>
            </a:ln>
            <a:effectLst/>
          </c:spPr>
          <c:marker>
            <c:symbol val="none"/>
          </c:marker>
          <c:cat>
            <c:strRef>
              <c:f>'PIVOT TABLE'!$A$28:$A$35</c:f>
              <c:strCache>
                <c:ptCount val="7"/>
                <c:pt idx="0">
                  <c:v>2019</c:v>
                </c:pt>
                <c:pt idx="1">
                  <c:v>2020</c:v>
                </c:pt>
                <c:pt idx="2">
                  <c:v>2021</c:v>
                </c:pt>
                <c:pt idx="3">
                  <c:v>2022</c:v>
                </c:pt>
                <c:pt idx="4">
                  <c:v>2023</c:v>
                </c:pt>
                <c:pt idx="5">
                  <c:v>2024</c:v>
                </c:pt>
                <c:pt idx="6">
                  <c:v>2025</c:v>
                </c:pt>
              </c:strCache>
            </c:strRef>
          </c:cat>
          <c:val>
            <c:numRef>
              <c:f>'PIVOT TABLE'!$B$28:$B$35</c:f>
              <c:numCache>
                <c:formatCode>0.0%</c:formatCode>
                <c:ptCount val="7"/>
                <c:pt idx="0">
                  <c:v>0.53800000000000003</c:v>
                </c:pt>
                <c:pt idx="1">
                  <c:v>0.59799999999999998</c:v>
                </c:pt>
                <c:pt idx="2">
                  <c:v>0.65200000000000002</c:v>
                </c:pt>
                <c:pt idx="3">
                  <c:v>0.628</c:v>
                </c:pt>
                <c:pt idx="4">
                  <c:v>0.65800000000000003</c:v>
                </c:pt>
                <c:pt idx="5">
                  <c:v>0.67400000000000004</c:v>
                </c:pt>
                <c:pt idx="6">
                  <c:v>0.68799999999999994</c:v>
                </c:pt>
              </c:numCache>
            </c:numRef>
          </c:val>
          <c:smooth val="0"/>
          <c:extLst>
            <c:ext xmlns:c16="http://schemas.microsoft.com/office/drawing/2014/chart" uri="{C3380CC4-5D6E-409C-BE32-E72D297353CC}">
              <c16:uniqueId val="{00000000-7DC1-4D2F-A59A-920580338295}"/>
            </c:ext>
          </c:extLst>
        </c:ser>
        <c:ser>
          <c:idx val="1"/>
          <c:order val="1"/>
          <c:tx>
            <c:strRef>
              <c:f>'PIVOT TABLE'!$C$26:$C$27</c:f>
              <c:strCache>
                <c:ptCount val="1"/>
                <c:pt idx="0">
                  <c:v>Hindustan Unilever</c:v>
                </c:pt>
              </c:strCache>
            </c:strRef>
          </c:tx>
          <c:spPr>
            <a:ln w="28575" cap="rnd">
              <a:solidFill>
                <a:schemeClr val="accent2"/>
              </a:solidFill>
              <a:round/>
            </a:ln>
            <a:effectLst/>
          </c:spPr>
          <c:marker>
            <c:symbol val="none"/>
          </c:marker>
          <c:cat>
            <c:strRef>
              <c:f>'PIVOT TABLE'!$A$28:$A$35</c:f>
              <c:strCache>
                <c:ptCount val="7"/>
                <c:pt idx="0">
                  <c:v>2019</c:v>
                </c:pt>
                <c:pt idx="1">
                  <c:v>2020</c:v>
                </c:pt>
                <c:pt idx="2">
                  <c:v>2021</c:v>
                </c:pt>
                <c:pt idx="3">
                  <c:v>2022</c:v>
                </c:pt>
                <c:pt idx="4">
                  <c:v>2023</c:v>
                </c:pt>
                <c:pt idx="5">
                  <c:v>2024</c:v>
                </c:pt>
                <c:pt idx="6">
                  <c:v>2025</c:v>
                </c:pt>
              </c:strCache>
            </c:strRef>
          </c:cat>
          <c:val>
            <c:numRef>
              <c:f>'PIVOT TABLE'!$C$28:$C$35</c:f>
              <c:numCache>
                <c:formatCode>0.0%</c:formatCode>
                <c:ptCount val="7"/>
                <c:pt idx="0">
                  <c:v>0.89200000000000002</c:v>
                </c:pt>
                <c:pt idx="1">
                  <c:v>0.90100000000000002</c:v>
                </c:pt>
                <c:pt idx="2">
                  <c:v>0.92100000000000004</c:v>
                </c:pt>
                <c:pt idx="3">
                  <c:v>0.91200000000000003</c:v>
                </c:pt>
                <c:pt idx="4">
                  <c:v>0.92800000000000005</c:v>
                </c:pt>
                <c:pt idx="5">
                  <c:v>0.93400000000000005</c:v>
                </c:pt>
                <c:pt idx="6">
                  <c:v>0.94099999999999995</c:v>
                </c:pt>
              </c:numCache>
            </c:numRef>
          </c:val>
          <c:smooth val="0"/>
          <c:extLst>
            <c:ext xmlns:c16="http://schemas.microsoft.com/office/drawing/2014/chart" uri="{C3380CC4-5D6E-409C-BE32-E72D297353CC}">
              <c16:uniqueId val="{00000001-7DC1-4D2F-A59A-920580338295}"/>
            </c:ext>
          </c:extLst>
        </c:ser>
        <c:ser>
          <c:idx val="2"/>
          <c:order val="2"/>
          <c:tx>
            <c:strRef>
              <c:f>'PIVOT TABLE'!$D$26:$D$27</c:f>
              <c:strCache>
                <c:ptCount val="1"/>
                <c:pt idx="0">
                  <c:v>ITC Ltd</c:v>
                </c:pt>
              </c:strCache>
            </c:strRef>
          </c:tx>
          <c:spPr>
            <a:ln w="28575" cap="rnd">
              <a:solidFill>
                <a:schemeClr val="accent3"/>
              </a:solidFill>
              <a:round/>
            </a:ln>
            <a:effectLst/>
          </c:spPr>
          <c:marker>
            <c:symbol val="none"/>
          </c:marker>
          <c:cat>
            <c:strRef>
              <c:f>'PIVOT TABLE'!$A$28:$A$35</c:f>
              <c:strCache>
                <c:ptCount val="7"/>
                <c:pt idx="0">
                  <c:v>2019</c:v>
                </c:pt>
                <c:pt idx="1">
                  <c:v>2020</c:v>
                </c:pt>
                <c:pt idx="2">
                  <c:v>2021</c:v>
                </c:pt>
                <c:pt idx="3">
                  <c:v>2022</c:v>
                </c:pt>
                <c:pt idx="4">
                  <c:v>2023</c:v>
                </c:pt>
                <c:pt idx="5">
                  <c:v>2024</c:v>
                </c:pt>
                <c:pt idx="6">
                  <c:v>2025</c:v>
                </c:pt>
              </c:strCache>
            </c:strRef>
          </c:cat>
          <c:val>
            <c:numRef>
              <c:f>'PIVOT TABLE'!$D$28:$D$35</c:f>
              <c:numCache>
                <c:formatCode>0.0%</c:formatCode>
                <c:ptCount val="7"/>
                <c:pt idx="0">
                  <c:v>0.29799999999999999</c:v>
                </c:pt>
                <c:pt idx="1">
                  <c:v>0.28100000000000003</c:v>
                </c:pt>
                <c:pt idx="2">
                  <c:v>0.25600000000000001</c:v>
                </c:pt>
                <c:pt idx="3">
                  <c:v>0.32100000000000001</c:v>
                </c:pt>
                <c:pt idx="4">
                  <c:v>0.35599999999999998</c:v>
                </c:pt>
                <c:pt idx="5">
                  <c:v>0.36799999999999999</c:v>
                </c:pt>
                <c:pt idx="6">
                  <c:v>0.378</c:v>
                </c:pt>
              </c:numCache>
            </c:numRef>
          </c:val>
          <c:smooth val="0"/>
          <c:extLst>
            <c:ext xmlns:c16="http://schemas.microsoft.com/office/drawing/2014/chart" uri="{C3380CC4-5D6E-409C-BE32-E72D297353CC}">
              <c16:uniqueId val="{00000002-7DC1-4D2F-A59A-920580338295}"/>
            </c:ext>
          </c:extLst>
        </c:ser>
        <c:ser>
          <c:idx val="3"/>
          <c:order val="3"/>
          <c:tx>
            <c:strRef>
              <c:f>'PIVOT TABLE'!$E$26:$E$27</c:f>
              <c:strCache>
                <c:ptCount val="1"/>
                <c:pt idx="0">
                  <c:v>Nestle India</c:v>
                </c:pt>
              </c:strCache>
            </c:strRef>
          </c:tx>
          <c:spPr>
            <a:ln w="28575" cap="rnd">
              <a:solidFill>
                <a:schemeClr val="accent4"/>
              </a:solidFill>
              <a:round/>
            </a:ln>
            <a:effectLst/>
          </c:spPr>
          <c:marker>
            <c:symbol val="none"/>
          </c:marker>
          <c:cat>
            <c:strRef>
              <c:f>'PIVOT TABLE'!$A$28:$A$35</c:f>
              <c:strCache>
                <c:ptCount val="7"/>
                <c:pt idx="0">
                  <c:v>2019</c:v>
                </c:pt>
                <c:pt idx="1">
                  <c:v>2020</c:v>
                </c:pt>
                <c:pt idx="2">
                  <c:v>2021</c:v>
                </c:pt>
                <c:pt idx="3">
                  <c:v>2022</c:v>
                </c:pt>
                <c:pt idx="4">
                  <c:v>2023</c:v>
                </c:pt>
                <c:pt idx="5">
                  <c:v>2024</c:v>
                </c:pt>
                <c:pt idx="6">
                  <c:v>2025</c:v>
                </c:pt>
              </c:strCache>
            </c:strRef>
          </c:cat>
          <c:val>
            <c:numRef>
              <c:f>'PIVOT TABLE'!$E$28:$E$35</c:f>
              <c:numCache>
                <c:formatCode>0.0%</c:formatCode>
                <c:ptCount val="7"/>
                <c:pt idx="0">
                  <c:v>0.78100000000000003</c:v>
                </c:pt>
                <c:pt idx="1">
                  <c:v>0.80100000000000005</c:v>
                </c:pt>
                <c:pt idx="2">
                  <c:v>0.82399999999999995</c:v>
                </c:pt>
                <c:pt idx="3">
                  <c:v>0.81200000000000006</c:v>
                </c:pt>
                <c:pt idx="4">
                  <c:v>0.84099999999999997</c:v>
                </c:pt>
                <c:pt idx="5">
                  <c:v>0.85699999999999998</c:v>
                </c:pt>
                <c:pt idx="6">
                  <c:v>0.86499999999999999</c:v>
                </c:pt>
              </c:numCache>
            </c:numRef>
          </c:val>
          <c:smooth val="0"/>
          <c:extLst>
            <c:ext xmlns:c16="http://schemas.microsoft.com/office/drawing/2014/chart" uri="{C3380CC4-5D6E-409C-BE32-E72D297353CC}">
              <c16:uniqueId val="{00000003-7DC1-4D2F-A59A-920580338295}"/>
            </c:ext>
          </c:extLst>
        </c:ser>
        <c:dLbls>
          <c:showLegendKey val="0"/>
          <c:showVal val="0"/>
          <c:showCatName val="0"/>
          <c:showSerName val="0"/>
          <c:showPercent val="0"/>
          <c:showBubbleSize val="0"/>
        </c:dLbls>
        <c:smooth val="0"/>
        <c:axId val="1141201856"/>
        <c:axId val="1141195136"/>
      </c:lineChart>
      <c:catAx>
        <c:axId val="114120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195136"/>
        <c:crosses val="autoZero"/>
        <c:auto val="1"/>
        <c:lblAlgn val="ctr"/>
        <c:lblOffset val="100"/>
        <c:noMultiLvlLbl val="0"/>
      </c:catAx>
      <c:valAx>
        <c:axId val="11411951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20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[SUBHAM EABV VARUN BEVERAGES.xlsx]PIVOT TABLE!PivotTable21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Asset TurnOver</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4"/>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15"/>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TABLE'!$I$26:$I$27</c:f>
              <c:strCache>
                <c:ptCount val="1"/>
                <c:pt idx="0">
                  <c:v>Britannia Industries</c:v>
                </c:pt>
              </c:strCache>
            </c:strRef>
          </c:tx>
          <c:spPr>
            <a:ln w="28575" cap="rnd">
              <a:solidFill>
                <a:schemeClr val="accent1"/>
              </a:solidFill>
              <a:round/>
            </a:ln>
            <a:effectLst/>
          </c:spPr>
          <c:marker>
            <c:symbol val="none"/>
          </c:marker>
          <c:cat>
            <c:strRef>
              <c:f>'PIVOT TABLE'!$H$28:$H$35</c:f>
              <c:strCache>
                <c:ptCount val="7"/>
                <c:pt idx="0">
                  <c:v>2019</c:v>
                </c:pt>
                <c:pt idx="1">
                  <c:v>2020</c:v>
                </c:pt>
                <c:pt idx="2">
                  <c:v>2021</c:v>
                </c:pt>
                <c:pt idx="3">
                  <c:v>2022</c:v>
                </c:pt>
                <c:pt idx="4">
                  <c:v>2023</c:v>
                </c:pt>
                <c:pt idx="5">
                  <c:v>2024</c:v>
                </c:pt>
                <c:pt idx="6">
                  <c:v>2025</c:v>
                </c:pt>
              </c:strCache>
            </c:strRef>
          </c:cat>
          <c:val>
            <c:numRef>
              <c:f>'PIVOT TABLE'!$I$28:$I$35</c:f>
              <c:numCache>
                <c:formatCode>0.00</c:formatCode>
                <c:ptCount val="7"/>
                <c:pt idx="0">
                  <c:v>1.42</c:v>
                </c:pt>
                <c:pt idx="1">
                  <c:v>1.48</c:v>
                </c:pt>
                <c:pt idx="2">
                  <c:v>1.52</c:v>
                </c:pt>
                <c:pt idx="3">
                  <c:v>1.56</c:v>
                </c:pt>
                <c:pt idx="4">
                  <c:v>1.61</c:v>
                </c:pt>
                <c:pt idx="5">
                  <c:v>1.65</c:v>
                </c:pt>
                <c:pt idx="6">
                  <c:v>1.71</c:v>
                </c:pt>
              </c:numCache>
            </c:numRef>
          </c:val>
          <c:smooth val="0"/>
          <c:extLst>
            <c:ext xmlns:c16="http://schemas.microsoft.com/office/drawing/2014/chart" uri="{C3380CC4-5D6E-409C-BE32-E72D297353CC}">
              <c16:uniqueId val="{00000005-CB4F-4D7B-AD33-1356380450BC}"/>
            </c:ext>
          </c:extLst>
        </c:ser>
        <c:ser>
          <c:idx val="1"/>
          <c:order val="1"/>
          <c:tx>
            <c:strRef>
              <c:f>'PIVOT TABLE'!$J$26:$J$27</c:f>
              <c:strCache>
                <c:ptCount val="1"/>
                <c:pt idx="0">
                  <c:v>Hindustan Unilever</c:v>
                </c:pt>
              </c:strCache>
            </c:strRef>
          </c:tx>
          <c:spPr>
            <a:ln w="28575" cap="rnd">
              <a:solidFill>
                <a:schemeClr val="accent2"/>
              </a:solidFill>
              <a:round/>
            </a:ln>
            <a:effectLst/>
          </c:spPr>
          <c:marker>
            <c:symbol val="none"/>
          </c:marker>
          <c:cat>
            <c:strRef>
              <c:f>'PIVOT TABLE'!$H$28:$H$35</c:f>
              <c:strCache>
                <c:ptCount val="7"/>
                <c:pt idx="0">
                  <c:v>2019</c:v>
                </c:pt>
                <c:pt idx="1">
                  <c:v>2020</c:v>
                </c:pt>
                <c:pt idx="2">
                  <c:v>2021</c:v>
                </c:pt>
                <c:pt idx="3">
                  <c:v>2022</c:v>
                </c:pt>
                <c:pt idx="4">
                  <c:v>2023</c:v>
                </c:pt>
                <c:pt idx="5">
                  <c:v>2024</c:v>
                </c:pt>
                <c:pt idx="6">
                  <c:v>2025</c:v>
                </c:pt>
              </c:strCache>
            </c:strRef>
          </c:cat>
          <c:val>
            <c:numRef>
              <c:f>'PIVOT TABLE'!$J$28:$J$35</c:f>
              <c:numCache>
                <c:formatCode>0.00</c:formatCode>
                <c:ptCount val="7"/>
                <c:pt idx="0">
                  <c:v>1.38</c:v>
                </c:pt>
                <c:pt idx="1">
                  <c:v>1.41</c:v>
                </c:pt>
                <c:pt idx="2">
                  <c:v>1.44</c:v>
                </c:pt>
                <c:pt idx="3">
                  <c:v>1.47</c:v>
                </c:pt>
                <c:pt idx="4">
                  <c:v>1.52</c:v>
                </c:pt>
                <c:pt idx="5">
                  <c:v>1.56</c:v>
                </c:pt>
                <c:pt idx="6">
                  <c:v>1.6</c:v>
                </c:pt>
              </c:numCache>
            </c:numRef>
          </c:val>
          <c:smooth val="0"/>
          <c:extLst>
            <c:ext xmlns:c16="http://schemas.microsoft.com/office/drawing/2014/chart" uri="{C3380CC4-5D6E-409C-BE32-E72D297353CC}">
              <c16:uniqueId val="{00000007-CB4F-4D7B-AD33-1356380450BC}"/>
            </c:ext>
          </c:extLst>
        </c:ser>
        <c:ser>
          <c:idx val="2"/>
          <c:order val="2"/>
          <c:tx>
            <c:strRef>
              <c:f>'PIVOT TABLE'!$K$26:$K$27</c:f>
              <c:strCache>
                <c:ptCount val="1"/>
                <c:pt idx="0">
                  <c:v>ITC Ltd</c:v>
                </c:pt>
              </c:strCache>
            </c:strRef>
          </c:tx>
          <c:spPr>
            <a:ln w="28575" cap="rnd">
              <a:solidFill>
                <a:schemeClr val="accent3"/>
              </a:solidFill>
              <a:round/>
            </a:ln>
            <a:effectLst/>
          </c:spPr>
          <c:marker>
            <c:symbol val="none"/>
          </c:marker>
          <c:cat>
            <c:strRef>
              <c:f>'PIVOT TABLE'!$H$28:$H$35</c:f>
              <c:strCache>
                <c:ptCount val="7"/>
                <c:pt idx="0">
                  <c:v>2019</c:v>
                </c:pt>
                <c:pt idx="1">
                  <c:v>2020</c:v>
                </c:pt>
                <c:pt idx="2">
                  <c:v>2021</c:v>
                </c:pt>
                <c:pt idx="3">
                  <c:v>2022</c:v>
                </c:pt>
                <c:pt idx="4">
                  <c:v>2023</c:v>
                </c:pt>
                <c:pt idx="5">
                  <c:v>2024</c:v>
                </c:pt>
                <c:pt idx="6">
                  <c:v>2025</c:v>
                </c:pt>
              </c:strCache>
            </c:strRef>
          </c:cat>
          <c:val>
            <c:numRef>
              <c:f>'PIVOT TABLE'!$K$28:$K$35</c:f>
              <c:numCache>
                <c:formatCode>0.00</c:formatCode>
                <c:ptCount val="7"/>
                <c:pt idx="0">
                  <c:v>0.72</c:v>
                </c:pt>
                <c:pt idx="1">
                  <c:v>0.68</c:v>
                </c:pt>
                <c:pt idx="2">
                  <c:v>0.66</c:v>
                </c:pt>
                <c:pt idx="3">
                  <c:v>0.71</c:v>
                </c:pt>
                <c:pt idx="4">
                  <c:v>0.76</c:v>
                </c:pt>
                <c:pt idx="5">
                  <c:v>0.79</c:v>
                </c:pt>
                <c:pt idx="6">
                  <c:v>0.82</c:v>
                </c:pt>
              </c:numCache>
            </c:numRef>
          </c:val>
          <c:smooth val="0"/>
          <c:extLst>
            <c:ext xmlns:c16="http://schemas.microsoft.com/office/drawing/2014/chart" uri="{C3380CC4-5D6E-409C-BE32-E72D297353CC}">
              <c16:uniqueId val="{00000009-CB4F-4D7B-AD33-1356380450BC}"/>
            </c:ext>
          </c:extLst>
        </c:ser>
        <c:ser>
          <c:idx val="3"/>
          <c:order val="3"/>
          <c:tx>
            <c:strRef>
              <c:f>'PIVOT TABLE'!$L$26:$L$27</c:f>
              <c:strCache>
                <c:ptCount val="1"/>
                <c:pt idx="0">
                  <c:v>Nestle India</c:v>
                </c:pt>
              </c:strCache>
            </c:strRef>
          </c:tx>
          <c:spPr>
            <a:ln w="28575" cap="rnd">
              <a:solidFill>
                <a:schemeClr val="accent4"/>
              </a:solidFill>
              <a:round/>
            </a:ln>
            <a:effectLst/>
          </c:spPr>
          <c:marker>
            <c:symbol val="none"/>
          </c:marker>
          <c:cat>
            <c:strRef>
              <c:f>'PIVOT TABLE'!$H$28:$H$35</c:f>
              <c:strCache>
                <c:ptCount val="7"/>
                <c:pt idx="0">
                  <c:v>2019</c:v>
                </c:pt>
                <c:pt idx="1">
                  <c:v>2020</c:v>
                </c:pt>
                <c:pt idx="2">
                  <c:v>2021</c:v>
                </c:pt>
                <c:pt idx="3">
                  <c:v>2022</c:v>
                </c:pt>
                <c:pt idx="4">
                  <c:v>2023</c:v>
                </c:pt>
                <c:pt idx="5">
                  <c:v>2024</c:v>
                </c:pt>
                <c:pt idx="6">
                  <c:v>2025</c:v>
                </c:pt>
              </c:strCache>
            </c:strRef>
          </c:cat>
          <c:val>
            <c:numRef>
              <c:f>'PIVOT TABLE'!$L$28:$L$35</c:f>
              <c:numCache>
                <c:formatCode>0.00</c:formatCode>
                <c:ptCount val="7"/>
                <c:pt idx="0">
                  <c:v>1.82</c:v>
                </c:pt>
                <c:pt idx="1">
                  <c:v>1.91</c:v>
                </c:pt>
                <c:pt idx="2">
                  <c:v>1.94</c:v>
                </c:pt>
                <c:pt idx="3">
                  <c:v>2.0099999999999998</c:v>
                </c:pt>
                <c:pt idx="4">
                  <c:v>2.09</c:v>
                </c:pt>
                <c:pt idx="5">
                  <c:v>2.14</c:v>
                </c:pt>
                <c:pt idx="6">
                  <c:v>2.19</c:v>
                </c:pt>
              </c:numCache>
            </c:numRef>
          </c:val>
          <c:smooth val="0"/>
          <c:extLst>
            <c:ext xmlns:c16="http://schemas.microsoft.com/office/drawing/2014/chart" uri="{C3380CC4-5D6E-409C-BE32-E72D297353CC}">
              <c16:uniqueId val="{0000000B-CB4F-4D7B-AD33-1356380450BC}"/>
            </c:ext>
          </c:extLst>
        </c:ser>
        <c:dLbls>
          <c:showLegendKey val="0"/>
          <c:showVal val="0"/>
          <c:showCatName val="0"/>
          <c:showSerName val="0"/>
          <c:showPercent val="0"/>
          <c:showBubbleSize val="0"/>
        </c:dLbls>
        <c:smooth val="0"/>
        <c:axId val="1141204256"/>
        <c:axId val="1141210016"/>
      </c:lineChart>
      <c:catAx>
        <c:axId val="114120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210016"/>
        <c:crosses val="autoZero"/>
        <c:auto val="1"/>
        <c:lblAlgn val="ctr"/>
        <c:lblOffset val="100"/>
        <c:noMultiLvlLbl val="0"/>
      </c:catAx>
      <c:valAx>
        <c:axId val="11412100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20425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[SUBHAM EABV VARUN BEVERAGES.xlsx]PIVOT TABLE!PivotTable20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ICR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TABLE'!$I$15:$I$16</c:f>
              <c:strCache>
                <c:ptCount val="1"/>
                <c:pt idx="0">
                  <c:v>Britannia Industries</c:v>
                </c:pt>
              </c:strCache>
            </c:strRef>
          </c:tx>
          <c:spPr>
            <a:ln w="28575" cap="rnd">
              <a:solidFill>
                <a:schemeClr val="accent1"/>
              </a:solidFill>
              <a:round/>
            </a:ln>
            <a:effectLst/>
          </c:spPr>
          <c:marker>
            <c:symbol val="none"/>
          </c:marker>
          <c:cat>
            <c:strRef>
              <c:f>'PIVOT TABLE'!$H$17:$H$24</c:f>
              <c:strCache>
                <c:ptCount val="7"/>
                <c:pt idx="0">
                  <c:v>2019</c:v>
                </c:pt>
                <c:pt idx="1">
                  <c:v>2020</c:v>
                </c:pt>
                <c:pt idx="2">
                  <c:v>2021</c:v>
                </c:pt>
                <c:pt idx="3">
                  <c:v>2022</c:v>
                </c:pt>
                <c:pt idx="4">
                  <c:v>2023</c:v>
                </c:pt>
                <c:pt idx="5">
                  <c:v>2024</c:v>
                </c:pt>
                <c:pt idx="6">
                  <c:v>2025</c:v>
                </c:pt>
              </c:strCache>
            </c:strRef>
          </c:cat>
          <c:val>
            <c:numRef>
              <c:f>'PIVOT TABLE'!$I$17:$I$24</c:f>
              <c:numCache>
                <c:formatCode>General</c:formatCode>
                <c:ptCount val="7"/>
                <c:pt idx="0">
                  <c:v>1</c:v>
                </c:pt>
                <c:pt idx="1">
                  <c:v>1</c:v>
                </c:pt>
                <c:pt idx="2">
                  <c:v>1</c:v>
                </c:pt>
                <c:pt idx="3">
                  <c:v>1</c:v>
                </c:pt>
                <c:pt idx="4">
                  <c:v>1</c:v>
                </c:pt>
                <c:pt idx="5">
                  <c:v>1</c:v>
                </c:pt>
                <c:pt idx="6">
                  <c:v>1</c:v>
                </c:pt>
              </c:numCache>
            </c:numRef>
          </c:val>
          <c:smooth val="0"/>
          <c:extLst>
            <c:ext xmlns:c16="http://schemas.microsoft.com/office/drawing/2014/chart" uri="{C3380CC4-5D6E-409C-BE32-E72D297353CC}">
              <c16:uniqueId val="{00000000-5495-4E7D-8703-2D0BE4D6AF27}"/>
            </c:ext>
          </c:extLst>
        </c:ser>
        <c:ser>
          <c:idx val="1"/>
          <c:order val="1"/>
          <c:tx>
            <c:strRef>
              <c:f>'PIVOT TABLE'!$J$15:$J$16</c:f>
              <c:strCache>
                <c:ptCount val="1"/>
                <c:pt idx="0">
                  <c:v>Hindustan Unilever</c:v>
                </c:pt>
              </c:strCache>
            </c:strRef>
          </c:tx>
          <c:spPr>
            <a:ln w="28575" cap="rnd">
              <a:solidFill>
                <a:schemeClr val="accent2"/>
              </a:solidFill>
              <a:round/>
            </a:ln>
            <a:effectLst/>
          </c:spPr>
          <c:marker>
            <c:symbol val="none"/>
          </c:marker>
          <c:cat>
            <c:strRef>
              <c:f>'PIVOT TABLE'!$H$17:$H$24</c:f>
              <c:strCache>
                <c:ptCount val="7"/>
                <c:pt idx="0">
                  <c:v>2019</c:v>
                </c:pt>
                <c:pt idx="1">
                  <c:v>2020</c:v>
                </c:pt>
                <c:pt idx="2">
                  <c:v>2021</c:v>
                </c:pt>
                <c:pt idx="3">
                  <c:v>2022</c:v>
                </c:pt>
                <c:pt idx="4">
                  <c:v>2023</c:v>
                </c:pt>
                <c:pt idx="5">
                  <c:v>2024</c:v>
                </c:pt>
                <c:pt idx="6">
                  <c:v>2025</c:v>
                </c:pt>
              </c:strCache>
            </c:strRef>
          </c:cat>
          <c:val>
            <c:numRef>
              <c:f>'PIVOT TABLE'!$J$17:$J$24</c:f>
              <c:numCache>
                <c:formatCode>General</c:formatCode>
                <c:ptCount val="7"/>
                <c:pt idx="0">
                  <c:v>1</c:v>
                </c:pt>
                <c:pt idx="1">
                  <c:v>1</c:v>
                </c:pt>
                <c:pt idx="2">
                  <c:v>1</c:v>
                </c:pt>
                <c:pt idx="3">
                  <c:v>1</c:v>
                </c:pt>
                <c:pt idx="4">
                  <c:v>1</c:v>
                </c:pt>
                <c:pt idx="5">
                  <c:v>1</c:v>
                </c:pt>
                <c:pt idx="6">
                  <c:v>1</c:v>
                </c:pt>
              </c:numCache>
            </c:numRef>
          </c:val>
          <c:smooth val="0"/>
          <c:extLst>
            <c:ext xmlns:c16="http://schemas.microsoft.com/office/drawing/2014/chart" uri="{C3380CC4-5D6E-409C-BE32-E72D297353CC}">
              <c16:uniqueId val="{00000001-5495-4E7D-8703-2D0BE4D6AF27}"/>
            </c:ext>
          </c:extLst>
        </c:ser>
        <c:ser>
          <c:idx val="2"/>
          <c:order val="2"/>
          <c:tx>
            <c:strRef>
              <c:f>'PIVOT TABLE'!$K$15:$K$16</c:f>
              <c:strCache>
                <c:ptCount val="1"/>
                <c:pt idx="0">
                  <c:v>ITC Ltd</c:v>
                </c:pt>
              </c:strCache>
            </c:strRef>
          </c:tx>
          <c:spPr>
            <a:ln w="28575" cap="rnd">
              <a:solidFill>
                <a:schemeClr val="accent3"/>
              </a:solidFill>
              <a:round/>
            </a:ln>
            <a:effectLst/>
          </c:spPr>
          <c:marker>
            <c:symbol val="none"/>
          </c:marker>
          <c:cat>
            <c:strRef>
              <c:f>'PIVOT TABLE'!$H$17:$H$24</c:f>
              <c:strCache>
                <c:ptCount val="7"/>
                <c:pt idx="0">
                  <c:v>2019</c:v>
                </c:pt>
                <c:pt idx="1">
                  <c:v>2020</c:v>
                </c:pt>
                <c:pt idx="2">
                  <c:v>2021</c:v>
                </c:pt>
                <c:pt idx="3">
                  <c:v>2022</c:v>
                </c:pt>
                <c:pt idx="4">
                  <c:v>2023</c:v>
                </c:pt>
                <c:pt idx="5">
                  <c:v>2024</c:v>
                </c:pt>
                <c:pt idx="6">
                  <c:v>2025</c:v>
                </c:pt>
              </c:strCache>
            </c:strRef>
          </c:cat>
          <c:val>
            <c:numRef>
              <c:f>'PIVOT TABLE'!$K$17:$K$24</c:f>
              <c:numCache>
                <c:formatCode>General</c:formatCode>
                <c:ptCount val="7"/>
                <c:pt idx="0">
                  <c:v>1</c:v>
                </c:pt>
                <c:pt idx="1">
                  <c:v>1</c:v>
                </c:pt>
                <c:pt idx="2">
                  <c:v>1</c:v>
                </c:pt>
                <c:pt idx="3">
                  <c:v>1</c:v>
                </c:pt>
                <c:pt idx="4">
                  <c:v>1</c:v>
                </c:pt>
                <c:pt idx="5">
                  <c:v>1</c:v>
                </c:pt>
                <c:pt idx="6">
                  <c:v>1</c:v>
                </c:pt>
              </c:numCache>
            </c:numRef>
          </c:val>
          <c:smooth val="0"/>
          <c:extLst>
            <c:ext xmlns:c16="http://schemas.microsoft.com/office/drawing/2014/chart" uri="{C3380CC4-5D6E-409C-BE32-E72D297353CC}">
              <c16:uniqueId val="{00000002-5495-4E7D-8703-2D0BE4D6AF27}"/>
            </c:ext>
          </c:extLst>
        </c:ser>
        <c:ser>
          <c:idx val="3"/>
          <c:order val="3"/>
          <c:tx>
            <c:strRef>
              <c:f>'PIVOT TABLE'!$L$15:$L$16</c:f>
              <c:strCache>
                <c:ptCount val="1"/>
                <c:pt idx="0">
                  <c:v>Nestle India</c:v>
                </c:pt>
              </c:strCache>
            </c:strRef>
          </c:tx>
          <c:spPr>
            <a:ln w="28575" cap="rnd">
              <a:solidFill>
                <a:schemeClr val="accent4"/>
              </a:solidFill>
              <a:round/>
            </a:ln>
            <a:effectLst/>
          </c:spPr>
          <c:marker>
            <c:symbol val="none"/>
          </c:marker>
          <c:cat>
            <c:strRef>
              <c:f>'PIVOT TABLE'!$H$17:$H$24</c:f>
              <c:strCache>
                <c:ptCount val="7"/>
                <c:pt idx="0">
                  <c:v>2019</c:v>
                </c:pt>
                <c:pt idx="1">
                  <c:v>2020</c:v>
                </c:pt>
                <c:pt idx="2">
                  <c:v>2021</c:v>
                </c:pt>
                <c:pt idx="3">
                  <c:v>2022</c:v>
                </c:pt>
                <c:pt idx="4">
                  <c:v>2023</c:v>
                </c:pt>
                <c:pt idx="5">
                  <c:v>2024</c:v>
                </c:pt>
                <c:pt idx="6">
                  <c:v>2025</c:v>
                </c:pt>
              </c:strCache>
            </c:strRef>
          </c:cat>
          <c:val>
            <c:numRef>
              <c:f>'PIVOT TABLE'!$L$17:$L$24</c:f>
              <c:numCache>
                <c:formatCode>General</c:formatCode>
                <c:ptCount val="7"/>
                <c:pt idx="0">
                  <c:v>1</c:v>
                </c:pt>
                <c:pt idx="1">
                  <c:v>1</c:v>
                </c:pt>
                <c:pt idx="2">
                  <c:v>1</c:v>
                </c:pt>
                <c:pt idx="3">
                  <c:v>1</c:v>
                </c:pt>
                <c:pt idx="4">
                  <c:v>1</c:v>
                </c:pt>
                <c:pt idx="5">
                  <c:v>1</c:v>
                </c:pt>
                <c:pt idx="6">
                  <c:v>1</c:v>
                </c:pt>
              </c:numCache>
            </c:numRef>
          </c:val>
          <c:smooth val="0"/>
          <c:extLst>
            <c:ext xmlns:c16="http://schemas.microsoft.com/office/drawing/2014/chart" uri="{C3380CC4-5D6E-409C-BE32-E72D297353CC}">
              <c16:uniqueId val="{00000003-5495-4E7D-8703-2D0BE4D6AF27}"/>
            </c:ext>
          </c:extLst>
        </c:ser>
        <c:dLbls>
          <c:showLegendKey val="0"/>
          <c:showVal val="0"/>
          <c:showCatName val="0"/>
          <c:showSerName val="0"/>
          <c:showPercent val="0"/>
          <c:showBubbleSize val="0"/>
        </c:dLbls>
        <c:smooth val="0"/>
        <c:axId val="1141204256"/>
        <c:axId val="1141210016"/>
      </c:lineChart>
      <c:catAx>
        <c:axId val="114120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210016"/>
        <c:crosses val="autoZero"/>
        <c:auto val="1"/>
        <c:lblAlgn val="ctr"/>
        <c:lblOffset val="100"/>
        <c:noMultiLvlLbl val="0"/>
      </c:catAx>
      <c:valAx>
        <c:axId val="114121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20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[SUBHAM EABV VARUN BEVERAGES.xlsx]PIVOT TABLE!PivotTable16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ROE</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4"/>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15"/>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TABLE'!$B$15:$B$16</c:f>
              <c:strCache>
                <c:ptCount val="1"/>
                <c:pt idx="0">
                  <c:v>Britannia Industries</c:v>
                </c:pt>
              </c:strCache>
            </c:strRef>
          </c:tx>
          <c:spPr>
            <a:ln w="28575" cap="rnd">
              <a:solidFill>
                <a:schemeClr val="accent1"/>
              </a:solidFill>
              <a:round/>
            </a:ln>
            <a:effectLst/>
          </c:spPr>
          <c:marker>
            <c:symbol val="none"/>
          </c:marker>
          <c:cat>
            <c:strRef>
              <c:f>'PIVOT TABLE'!$A$17:$A$24</c:f>
              <c:strCache>
                <c:ptCount val="7"/>
                <c:pt idx="0">
                  <c:v>2019</c:v>
                </c:pt>
                <c:pt idx="1">
                  <c:v>2020</c:v>
                </c:pt>
                <c:pt idx="2">
                  <c:v>2021</c:v>
                </c:pt>
                <c:pt idx="3">
                  <c:v>2022</c:v>
                </c:pt>
                <c:pt idx="4">
                  <c:v>2023</c:v>
                </c:pt>
                <c:pt idx="5">
                  <c:v>2024</c:v>
                </c:pt>
                <c:pt idx="6">
                  <c:v>2025</c:v>
                </c:pt>
              </c:strCache>
            </c:strRef>
          </c:cat>
          <c:val>
            <c:numRef>
              <c:f>'PIVOT TABLE'!$B$17:$B$24</c:f>
              <c:numCache>
                <c:formatCode>0.0%</c:formatCode>
                <c:ptCount val="7"/>
                <c:pt idx="0">
                  <c:v>0.45200000000000001</c:v>
                </c:pt>
                <c:pt idx="1">
                  <c:v>0.51200000000000001</c:v>
                </c:pt>
                <c:pt idx="2">
                  <c:v>0.56799999999999995</c:v>
                </c:pt>
                <c:pt idx="3">
                  <c:v>0.54100000000000004</c:v>
                </c:pt>
                <c:pt idx="4">
                  <c:v>0.57199999999999995</c:v>
                </c:pt>
                <c:pt idx="5">
                  <c:v>0.58899999999999997</c:v>
                </c:pt>
                <c:pt idx="6">
                  <c:v>0.60099999999999998</c:v>
                </c:pt>
              </c:numCache>
            </c:numRef>
          </c:val>
          <c:smooth val="0"/>
          <c:extLst>
            <c:ext xmlns:c16="http://schemas.microsoft.com/office/drawing/2014/chart" uri="{C3380CC4-5D6E-409C-BE32-E72D297353CC}">
              <c16:uniqueId val="{00000005-680B-4BEC-B2A8-738362B2220B}"/>
            </c:ext>
          </c:extLst>
        </c:ser>
        <c:ser>
          <c:idx val="1"/>
          <c:order val="1"/>
          <c:tx>
            <c:strRef>
              <c:f>'PIVOT TABLE'!$C$15:$C$16</c:f>
              <c:strCache>
                <c:ptCount val="1"/>
                <c:pt idx="0">
                  <c:v>Hindustan Unilever</c:v>
                </c:pt>
              </c:strCache>
            </c:strRef>
          </c:tx>
          <c:spPr>
            <a:ln w="28575" cap="rnd">
              <a:solidFill>
                <a:schemeClr val="accent2"/>
              </a:solidFill>
              <a:round/>
            </a:ln>
            <a:effectLst/>
          </c:spPr>
          <c:marker>
            <c:symbol val="none"/>
          </c:marker>
          <c:cat>
            <c:strRef>
              <c:f>'PIVOT TABLE'!$A$17:$A$24</c:f>
              <c:strCache>
                <c:ptCount val="7"/>
                <c:pt idx="0">
                  <c:v>2019</c:v>
                </c:pt>
                <c:pt idx="1">
                  <c:v>2020</c:v>
                </c:pt>
                <c:pt idx="2">
                  <c:v>2021</c:v>
                </c:pt>
                <c:pt idx="3">
                  <c:v>2022</c:v>
                </c:pt>
                <c:pt idx="4">
                  <c:v>2023</c:v>
                </c:pt>
                <c:pt idx="5">
                  <c:v>2024</c:v>
                </c:pt>
                <c:pt idx="6">
                  <c:v>2025</c:v>
                </c:pt>
              </c:strCache>
            </c:strRef>
          </c:cat>
          <c:val>
            <c:numRef>
              <c:f>'PIVOT TABLE'!$C$17:$C$24</c:f>
              <c:numCache>
                <c:formatCode>0.0%</c:formatCode>
                <c:ptCount val="7"/>
                <c:pt idx="0">
                  <c:v>0.80100000000000005</c:v>
                </c:pt>
                <c:pt idx="1">
                  <c:v>0.81200000000000006</c:v>
                </c:pt>
                <c:pt idx="2">
                  <c:v>0.83399999999999996</c:v>
                </c:pt>
                <c:pt idx="3">
                  <c:v>0.82099999999999995</c:v>
                </c:pt>
                <c:pt idx="4">
                  <c:v>0.83799999999999997</c:v>
                </c:pt>
                <c:pt idx="5">
                  <c:v>0.84499999999999997</c:v>
                </c:pt>
                <c:pt idx="6">
                  <c:v>0.85</c:v>
                </c:pt>
              </c:numCache>
            </c:numRef>
          </c:val>
          <c:smooth val="0"/>
          <c:extLst>
            <c:ext xmlns:c16="http://schemas.microsoft.com/office/drawing/2014/chart" uri="{C3380CC4-5D6E-409C-BE32-E72D297353CC}">
              <c16:uniqueId val="{00000007-680B-4BEC-B2A8-738362B2220B}"/>
            </c:ext>
          </c:extLst>
        </c:ser>
        <c:ser>
          <c:idx val="2"/>
          <c:order val="2"/>
          <c:tx>
            <c:strRef>
              <c:f>'PIVOT TABLE'!$D$15:$D$16</c:f>
              <c:strCache>
                <c:ptCount val="1"/>
                <c:pt idx="0">
                  <c:v>ITC Ltd</c:v>
                </c:pt>
              </c:strCache>
            </c:strRef>
          </c:tx>
          <c:spPr>
            <a:ln w="28575" cap="rnd">
              <a:solidFill>
                <a:schemeClr val="accent3"/>
              </a:solidFill>
              <a:round/>
            </a:ln>
            <a:effectLst/>
          </c:spPr>
          <c:marker>
            <c:symbol val="none"/>
          </c:marker>
          <c:cat>
            <c:strRef>
              <c:f>'PIVOT TABLE'!$A$17:$A$24</c:f>
              <c:strCache>
                <c:ptCount val="7"/>
                <c:pt idx="0">
                  <c:v>2019</c:v>
                </c:pt>
                <c:pt idx="1">
                  <c:v>2020</c:v>
                </c:pt>
                <c:pt idx="2">
                  <c:v>2021</c:v>
                </c:pt>
                <c:pt idx="3">
                  <c:v>2022</c:v>
                </c:pt>
                <c:pt idx="4">
                  <c:v>2023</c:v>
                </c:pt>
                <c:pt idx="5">
                  <c:v>2024</c:v>
                </c:pt>
                <c:pt idx="6">
                  <c:v>2025</c:v>
                </c:pt>
              </c:strCache>
            </c:strRef>
          </c:cat>
          <c:val>
            <c:numRef>
              <c:f>'PIVOT TABLE'!$D$17:$D$24</c:f>
              <c:numCache>
                <c:formatCode>0.0%</c:formatCode>
                <c:ptCount val="7"/>
                <c:pt idx="0">
                  <c:v>0.23100000000000001</c:v>
                </c:pt>
                <c:pt idx="1">
                  <c:v>0.217</c:v>
                </c:pt>
                <c:pt idx="2">
                  <c:v>0.19500000000000001</c:v>
                </c:pt>
                <c:pt idx="3">
                  <c:v>0.25800000000000001</c:v>
                </c:pt>
                <c:pt idx="4">
                  <c:v>0.28899999999999998</c:v>
                </c:pt>
                <c:pt idx="5">
                  <c:v>0.30099999999999999</c:v>
                </c:pt>
                <c:pt idx="6">
                  <c:v>0.31</c:v>
                </c:pt>
              </c:numCache>
            </c:numRef>
          </c:val>
          <c:smooth val="0"/>
          <c:extLst>
            <c:ext xmlns:c16="http://schemas.microsoft.com/office/drawing/2014/chart" uri="{C3380CC4-5D6E-409C-BE32-E72D297353CC}">
              <c16:uniqueId val="{00000009-680B-4BEC-B2A8-738362B2220B}"/>
            </c:ext>
          </c:extLst>
        </c:ser>
        <c:ser>
          <c:idx val="3"/>
          <c:order val="3"/>
          <c:tx>
            <c:strRef>
              <c:f>'PIVOT TABLE'!$E$15:$E$16</c:f>
              <c:strCache>
                <c:ptCount val="1"/>
                <c:pt idx="0">
                  <c:v>Nestle India</c:v>
                </c:pt>
              </c:strCache>
            </c:strRef>
          </c:tx>
          <c:spPr>
            <a:ln w="28575" cap="rnd">
              <a:solidFill>
                <a:schemeClr val="accent4"/>
              </a:solidFill>
              <a:round/>
            </a:ln>
            <a:effectLst/>
          </c:spPr>
          <c:marker>
            <c:symbol val="none"/>
          </c:marker>
          <c:cat>
            <c:strRef>
              <c:f>'PIVOT TABLE'!$A$17:$A$24</c:f>
              <c:strCache>
                <c:ptCount val="7"/>
                <c:pt idx="0">
                  <c:v>2019</c:v>
                </c:pt>
                <c:pt idx="1">
                  <c:v>2020</c:v>
                </c:pt>
                <c:pt idx="2">
                  <c:v>2021</c:v>
                </c:pt>
                <c:pt idx="3">
                  <c:v>2022</c:v>
                </c:pt>
                <c:pt idx="4">
                  <c:v>2023</c:v>
                </c:pt>
                <c:pt idx="5">
                  <c:v>2024</c:v>
                </c:pt>
                <c:pt idx="6">
                  <c:v>2025</c:v>
                </c:pt>
              </c:strCache>
            </c:strRef>
          </c:cat>
          <c:val>
            <c:numRef>
              <c:f>'PIVOT TABLE'!$E$17:$E$24</c:f>
              <c:numCache>
                <c:formatCode>0.0%</c:formatCode>
                <c:ptCount val="7"/>
                <c:pt idx="0">
                  <c:v>0.69499999999999995</c:v>
                </c:pt>
                <c:pt idx="1">
                  <c:v>0.71199999999999997</c:v>
                </c:pt>
                <c:pt idx="2">
                  <c:v>0.73</c:v>
                </c:pt>
                <c:pt idx="3">
                  <c:v>0.72099999999999997</c:v>
                </c:pt>
                <c:pt idx="4">
                  <c:v>0.748</c:v>
                </c:pt>
                <c:pt idx="5">
                  <c:v>0.76200000000000001</c:v>
                </c:pt>
                <c:pt idx="6">
                  <c:v>0.77</c:v>
                </c:pt>
              </c:numCache>
            </c:numRef>
          </c:val>
          <c:smooth val="0"/>
          <c:extLst>
            <c:ext xmlns:c16="http://schemas.microsoft.com/office/drawing/2014/chart" uri="{C3380CC4-5D6E-409C-BE32-E72D297353CC}">
              <c16:uniqueId val="{0000000B-680B-4BEC-B2A8-738362B2220B}"/>
            </c:ext>
          </c:extLst>
        </c:ser>
        <c:dLbls>
          <c:showLegendKey val="0"/>
          <c:showVal val="0"/>
          <c:showCatName val="0"/>
          <c:showSerName val="0"/>
          <c:showPercent val="0"/>
          <c:showBubbleSize val="0"/>
        </c:dLbls>
        <c:smooth val="0"/>
        <c:axId val="1000383520"/>
        <c:axId val="1000388800"/>
      </c:lineChart>
      <c:catAx>
        <c:axId val="100038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388800"/>
        <c:crosses val="autoZero"/>
        <c:auto val="1"/>
        <c:lblAlgn val="ctr"/>
        <c:lblOffset val="100"/>
        <c:noMultiLvlLbl val="0"/>
      </c:catAx>
      <c:valAx>
        <c:axId val="10003888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38352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[SUBHAM EABV VARUN BEVERAGES.xlsx]PIVOT TABLE!PivotTable19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Debt/Equity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TABLE'!$I$3:$I$4</c:f>
              <c:strCache>
                <c:ptCount val="1"/>
                <c:pt idx="0">
                  <c:v>Britannia Industries</c:v>
                </c:pt>
              </c:strCache>
            </c:strRef>
          </c:tx>
          <c:spPr>
            <a:ln w="28575" cap="rnd">
              <a:solidFill>
                <a:schemeClr val="accent1"/>
              </a:solidFill>
              <a:round/>
            </a:ln>
            <a:effectLst/>
          </c:spPr>
          <c:marker>
            <c:symbol val="none"/>
          </c:marker>
          <c:cat>
            <c:strRef>
              <c:f>'PIVOT TABLE'!$H$5:$H$12</c:f>
              <c:strCache>
                <c:ptCount val="7"/>
                <c:pt idx="0">
                  <c:v>2019</c:v>
                </c:pt>
                <c:pt idx="1">
                  <c:v>2020</c:v>
                </c:pt>
                <c:pt idx="2">
                  <c:v>2021</c:v>
                </c:pt>
                <c:pt idx="3">
                  <c:v>2022</c:v>
                </c:pt>
                <c:pt idx="4">
                  <c:v>2023</c:v>
                </c:pt>
                <c:pt idx="5">
                  <c:v>2024</c:v>
                </c:pt>
                <c:pt idx="6">
                  <c:v>2025</c:v>
                </c:pt>
              </c:strCache>
            </c:strRef>
          </c:cat>
          <c:val>
            <c:numRef>
              <c:f>'PIVOT TABLE'!$I$5:$I$12</c:f>
              <c:numCache>
                <c:formatCode>0.00</c:formatCode>
                <c:ptCount val="7"/>
                <c:pt idx="0">
                  <c:v>0.12</c:v>
                </c:pt>
                <c:pt idx="1">
                  <c:v>0.09</c:v>
                </c:pt>
                <c:pt idx="2">
                  <c:v>7.0000000000000007E-2</c:v>
                </c:pt>
                <c:pt idx="3">
                  <c:v>0.06</c:v>
                </c:pt>
                <c:pt idx="4">
                  <c:v>0.05</c:v>
                </c:pt>
                <c:pt idx="5">
                  <c:v>0.04</c:v>
                </c:pt>
                <c:pt idx="6">
                  <c:v>0.03</c:v>
                </c:pt>
              </c:numCache>
            </c:numRef>
          </c:val>
          <c:smooth val="0"/>
          <c:extLst>
            <c:ext xmlns:c16="http://schemas.microsoft.com/office/drawing/2014/chart" uri="{C3380CC4-5D6E-409C-BE32-E72D297353CC}">
              <c16:uniqueId val="{00000000-4F58-4646-9BAA-01C6C6AF5E05}"/>
            </c:ext>
          </c:extLst>
        </c:ser>
        <c:ser>
          <c:idx val="1"/>
          <c:order val="1"/>
          <c:tx>
            <c:strRef>
              <c:f>'PIVOT TABLE'!$J$3:$J$4</c:f>
              <c:strCache>
                <c:ptCount val="1"/>
                <c:pt idx="0">
                  <c:v>Hindustan Unilever</c:v>
                </c:pt>
              </c:strCache>
            </c:strRef>
          </c:tx>
          <c:spPr>
            <a:ln w="28575" cap="rnd">
              <a:solidFill>
                <a:schemeClr val="accent2"/>
              </a:solidFill>
              <a:round/>
            </a:ln>
            <a:effectLst/>
          </c:spPr>
          <c:marker>
            <c:symbol val="none"/>
          </c:marker>
          <c:cat>
            <c:strRef>
              <c:f>'PIVOT TABLE'!$H$5:$H$12</c:f>
              <c:strCache>
                <c:ptCount val="7"/>
                <c:pt idx="0">
                  <c:v>2019</c:v>
                </c:pt>
                <c:pt idx="1">
                  <c:v>2020</c:v>
                </c:pt>
                <c:pt idx="2">
                  <c:v>2021</c:v>
                </c:pt>
                <c:pt idx="3">
                  <c:v>2022</c:v>
                </c:pt>
                <c:pt idx="4">
                  <c:v>2023</c:v>
                </c:pt>
                <c:pt idx="5">
                  <c:v>2024</c:v>
                </c:pt>
                <c:pt idx="6">
                  <c:v>2025</c:v>
                </c:pt>
              </c:strCache>
            </c:strRef>
          </c:cat>
          <c:val>
            <c:numRef>
              <c:f>'PIVOT TABLE'!$J$5:$J$12</c:f>
              <c:numCache>
                <c:formatCode>0.00</c:formatCode>
                <c:ptCount val="7"/>
                <c:pt idx="0">
                  <c:v>0.01</c:v>
                </c:pt>
                <c:pt idx="1">
                  <c:v>0.01</c:v>
                </c:pt>
                <c:pt idx="2">
                  <c:v>0.01</c:v>
                </c:pt>
                <c:pt idx="3">
                  <c:v>0.01</c:v>
                </c:pt>
                <c:pt idx="4">
                  <c:v>0.01</c:v>
                </c:pt>
                <c:pt idx="5">
                  <c:v>0.01</c:v>
                </c:pt>
                <c:pt idx="6">
                  <c:v>0.01</c:v>
                </c:pt>
              </c:numCache>
            </c:numRef>
          </c:val>
          <c:smooth val="0"/>
          <c:extLst>
            <c:ext xmlns:c16="http://schemas.microsoft.com/office/drawing/2014/chart" uri="{C3380CC4-5D6E-409C-BE32-E72D297353CC}">
              <c16:uniqueId val="{00000001-4F58-4646-9BAA-01C6C6AF5E05}"/>
            </c:ext>
          </c:extLst>
        </c:ser>
        <c:ser>
          <c:idx val="2"/>
          <c:order val="2"/>
          <c:tx>
            <c:strRef>
              <c:f>'PIVOT TABLE'!$K$3:$K$4</c:f>
              <c:strCache>
                <c:ptCount val="1"/>
                <c:pt idx="0">
                  <c:v>ITC Ltd</c:v>
                </c:pt>
              </c:strCache>
            </c:strRef>
          </c:tx>
          <c:spPr>
            <a:ln w="28575" cap="rnd">
              <a:solidFill>
                <a:schemeClr val="accent3"/>
              </a:solidFill>
              <a:round/>
            </a:ln>
            <a:effectLst/>
          </c:spPr>
          <c:marker>
            <c:symbol val="none"/>
          </c:marker>
          <c:cat>
            <c:strRef>
              <c:f>'PIVOT TABLE'!$H$5:$H$12</c:f>
              <c:strCache>
                <c:ptCount val="7"/>
                <c:pt idx="0">
                  <c:v>2019</c:v>
                </c:pt>
                <c:pt idx="1">
                  <c:v>2020</c:v>
                </c:pt>
                <c:pt idx="2">
                  <c:v>2021</c:v>
                </c:pt>
                <c:pt idx="3">
                  <c:v>2022</c:v>
                </c:pt>
                <c:pt idx="4">
                  <c:v>2023</c:v>
                </c:pt>
                <c:pt idx="5">
                  <c:v>2024</c:v>
                </c:pt>
                <c:pt idx="6">
                  <c:v>2025</c:v>
                </c:pt>
              </c:strCache>
            </c:strRef>
          </c:cat>
          <c:val>
            <c:numRef>
              <c:f>'PIVOT TABLE'!$K$5:$K$12</c:f>
              <c:numCache>
                <c:formatCode>0.00</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2-4F58-4646-9BAA-01C6C6AF5E05}"/>
            </c:ext>
          </c:extLst>
        </c:ser>
        <c:ser>
          <c:idx val="3"/>
          <c:order val="3"/>
          <c:tx>
            <c:strRef>
              <c:f>'PIVOT TABLE'!$L$3:$L$4</c:f>
              <c:strCache>
                <c:ptCount val="1"/>
                <c:pt idx="0">
                  <c:v>Nestle India</c:v>
                </c:pt>
              </c:strCache>
            </c:strRef>
          </c:tx>
          <c:spPr>
            <a:ln w="28575" cap="rnd">
              <a:solidFill>
                <a:schemeClr val="accent4"/>
              </a:solidFill>
              <a:round/>
            </a:ln>
            <a:effectLst/>
          </c:spPr>
          <c:marker>
            <c:symbol val="none"/>
          </c:marker>
          <c:cat>
            <c:strRef>
              <c:f>'PIVOT TABLE'!$H$5:$H$12</c:f>
              <c:strCache>
                <c:ptCount val="7"/>
                <c:pt idx="0">
                  <c:v>2019</c:v>
                </c:pt>
                <c:pt idx="1">
                  <c:v>2020</c:v>
                </c:pt>
                <c:pt idx="2">
                  <c:v>2021</c:v>
                </c:pt>
                <c:pt idx="3">
                  <c:v>2022</c:v>
                </c:pt>
                <c:pt idx="4">
                  <c:v>2023</c:v>
                </c:pt>
                <c:pt idx="5">
                  <c:v>2024</c:v>
                </c:pt>
                <c:pt idx="6">
                  <c:v>2025</c:v>
                </c:pt>
              </c:strCache>
            </c:strRef>
          </c:cat>
          <c:val>
            <c:numRef>
              <c:f>'PIVOT TABLE'!$L$5:$L$12</c:f>
              <c:numCache>
                <c:formatCode>0.00</c:formatCode>
                <c:ptCount val="7"/>
                <c:pt idx="0">
                  <c:v>0.01</c:v>
                </c:pt>
                <c:pt idx="1">
                  <c:v>0.01</c:v>
                </c:pt>
                <c:pt idx="2">
                  <c:v>0.02</c:v>
                </c:pt>
                <c:pt idx="3">
                  <c:v>0.02</c:v>
                </c:pt>
                <c:pt idx="4">
                  <c:v>0.01</c:v>
                </c:pt>
                <c:pt idx="5">
                  <c:v>0.01</c:v>
                </c:pt>
                <c:pt idx="6">
                  <c:v>0.01</c:v>
                </c:pt>
              </c:numCache>
            </c:numRef>
          </c:val>
          <c:smooth val="0"/>
          <c:extLst>
            <c:ext xmlns:c16="http://schemas.microsoft.com/office/drawing/2014/chart" uri="{C3380CC4-5D6E-409C-BE32-E72D297353CC}">
              <c16:uniqueId val="{00000003-4F58-4646-9BAA-01C6C6AF5E05}"/>
            </c:ext>
          </c:extLst>
        </c:ser>
        <c:dLbls>
          <c:showLegendKey val="0"/>
          <c:showVal val="0"/>
          <c:showCatName val="0"/>
          <c:showSerName val="0"/>
          <c:showPercent val="0"/>
          <c:showBubbleSize val="0"/>
        </c:dLbls>
        <c:smooth val="0"/>
        <c:axId val="1000383520"/>
        <c:axId val="1000388800"/>
      </c:lineChart>
      <c:catAx>
        <c:axId val="100038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388800"/>
        <c:crosses val="autoZero"/>
        <c:auto val="1"/>
        <c:lblAlgn val="ctr"/>
        <c:lblOffset val="100"/>
        <c:noMultiLvlLbl val="0"/>
      </c:catAx>
      <c:valAx>
        <c:axId val="10003888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383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[SUBHAM EABV VARUN BEVERAGES.xlsx]PIVOT TABLE!PivotTable15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TABLE'!$B$3:$B$4</c:f>
              <c:strCache>
                <c:ptCount val="1"/>
                <c:pt idx="0">
                  <c:v>Britannia Industries</c:v>
                </c:pt>
              </c:strCache>
            </c:strRef>
          </c:tx>
          <c:spPr>
            <a:ln w="28575" cap="rnd">
              <a:solidFill>
                <a:schemeClr val="accent1"/>
              </a:solidFill>
              <a:round/>
            </a:ln>
            <a:effectLst/>
          </c:spPr>
          <c:marker>
            <c:symbol val="none"/>
          </c:marker>
          <c:cat>
            <c:strRef>
              <c:f>'PIVOT TABLE'!$A$5:$A$12</c:f>
              <c:strCache>
                <c:ptCount val="7"/>
                <c:pt idx="0">
                  <c:v>2019</c:v>
                </c:pt>
                <c:pt idx="1">
                  <c:v>2020</c:v>
                </c:pt>
                <c:pt idx="2">
                  <c:v>2021</c:v>
                </c:pt>
                <c:pt idx="3">
                  <c:v>2022</c:v>
                </c:pt>
                <c:pt idx="4">
                  <c:v>2023</c:v>
                </c:pt>
                <c:pt idx="5">
                  <c:v>2024</c:v>
                </c:pt>
                <c:pt idx="6">
                  <c:v>2025</c:v>
                </c:pt>
              </c:strCache>
            </c:strRef>
          </c:cat>
          <c:val>
            <c:numRef>
              <c:f>'PIVOT TABLE'!$B$5:$B$12</c:f>
              <c:numCache>
                <c:formatCode>#,##0</c:formatCode>
                <c:ptCount val="7"/>
                <c:pt idx="0">
                  <c:v>11054</c:v>
                </c:pt>
                <c:pt idx="1">
                  <c:v>11888</c:v>
                </c:pt>
                <c:pt idx="2">
                  <c:v>13268</c:v>
                </c:pt>
                <c:pt idx="3">
                  <c:v>14136</c:v>
                </c:pt>
                <c:pt idx="4">
                  <c:v>15827</c:v>
                </c:pt>
                <c:pt idx="5">
                  <c:v>16544</c:v>
                </c:pt>
                <c:pt idx="6">
                  <c:v>18200</c:v>
                </c:pt>
              </c:numCache>
            </c:numRef>
          </c:val>
          <c:smooth val="0"/>
          <c:extLst>
            <c:ext xmlns:c16="http://schemas.microsoft.com/office/drawing/2014/chart" uri="{C3380CC4-5D6E-409C-BE32-E72D297353CC}">
              <c16:uniqueId val="{00000000-8590-48D5-AA49-4F3135EBF99B}"/>
            </c:ext>
          </c:extLst>
        </c:ser>
        <c:ser>
          <c:idx val="1"/>
          <c:order val="1"/>
          <c:tx>
            <c:strRef>
              <c:f>'PIVOT TABLE'!$C$3:$C$4</c:f>
              <c:strCache>
                <c:ptCount val="1"/>
                <c:pt idx="0">
                  <c:v>Hindustan Unilever</c:v>
                </c:pt>
              </c:strCache>
            </c:strRef>
          </c:tx>
          <c:spPr>
            <a:ln w="28575" cap="rnd">
              <a:solidFill>
                <a:schemeClr val="accent2"/>
              </a:solidFill>
              <a:round/>
            </a:ln>
            <a:effectLst/>
          </c:spPr>
          <c:marker>
            <c:symbol val="none"/>
          </c:marker>
          <c:cat>
            <c:strRef>
              <c:f>'PIVOT TABLE'!$A$5:$A$12</c:f>
              <c:strCache>
                <c:ptCount val="7"/>
                <c:pt idx="0">
                  <c:v>2019</c:v>
                </c:pt>
                <c:pt idx="1">
                  <c:v>2020</c:v>
                </c:pt>
                <c:pt idx="2">
                  <c:v>2021</c:v>
                </c:pt>
                <c:pt idx="3">
                  <c:v>2022</c:v>
                </c:pt>
                <c:pt idx="4">
                  <c:v>2023</c:v>
                </c:pt>
                <c:pt idx="5">
                  <c:v>2024</c:v>
                </c:pt>
                <c:pt idx="6">
                  <c:v>2025</c:v>
                </c:pt>
              </c:strCache>
            </c:strRef>
          </c:cat>
          <c:val>
            <c:numRef>
              <c:f>'PIVOT TABLE'!$C$5:$C$12</c:f>
              <c:numCache>
                <c:formatCode>#,##0</c:formatCode>
                <c:ptCount val="7"/>
                <c:pt idx="0">
                  <c:v>38273</c:v>
                </c:pt>
                <c:pt idx="1">
                  <c:v>38785</c:v>
                </c:pt>
                <c:pt idx="2">
                  <c:v>45311</c:v>
                </c:pt>
                <c:pt idx="3">
                  <c:v>52612</c:v>
                </c:pt>
                <c:pt idx="4">
                  <c:v>59579</c:v>
                </c:pt>
                <c:pt idx="5">
                  <c:v>62603</c:v>
                </c:pt>
                <c:pt idx="6">
                  <c:v>65000</c:v>
                </c:pt>
              </c:numCache>
            </c:numRef>
          </c:val>
          <c:smooth val="0"/>
          <c:extLst>
            <c:ext xmlns:c16="http://schemas.microsoft.com/office/drawing/2014/chart" uri="{C3380CC4-5D6E-409C-BE32-E72D297353CC}">
              <c16:uniqueId val="{00000001-8590-48D5-AA49-4F3135EBF99B}"/>
            </c:ext>
          </c:extLst>
        </c:ser>
        <c:ser>
          <c:idx val="2"/>
          <c:order val="2"/>
          <c:tx>
            <c:strRef>
              <c:f>'PIVOT TABLE'!$D$3:$D$4</c:f>
              <c:strCache>
                <c:ptCount val="1"/>
                <c:pt idx="0">
                  <c:v>ITC Ltd</c:v>
                </c:pt>
              </c:strCache>
            </c:strRef>
          </c:tx>
          <c:spPr>
            <a:ln w="28575" cap="rnd">
              <a:solidFill>
                <a:schemeClr val="accent3"/>
              </a:solidFill>
              <a:round/>
            </a:ln>
            <a:effectLst/>
          </c:spPr>
          <c:marker>
            <c:symbol val="none"/>
          </c:marker>
          <c:cat>
            <c:strRef>
              <c:f>'PIVOT TABLE'!$A$5:$A$12</c:f>
              <c:strCache>
                <c:ptCount val="7"/>
                <c:pt idx="0">
                  <c:v>2019</c:v>
                </c:pt>
                <c:pt idx="1">
                  <c:v>2020</c:v>
                </c:pt>
                <c:pt idx="2">
                  <c:v>2021</c:v>
                </c:pt>
                <c:pt idx="3">
                  <c:v>2022</c:v>
                </c:pt>
                <c:pt idx="4">
                  <c:v>2023</c:v>
                </c:pt>
                <c:pt idx="5">
                  <c:v>2024</c:v>
                </c:pt>
                <c:pt idx="6">
                  <c:v>2025</c:v>
                </c:pt>
              </c:strCache>
            </c:strRef>
          </c:cat>
          <c:val>
            <c:numRef>
              <c:f>'PIVOT TABLE'!$D$5:$D$12</c:f>
              <c:numCache>
                <c:formatCode>#,##0</c:formatCode>
                <c:ptCount val="7"/>
                <c:pt idx="0">
                  <c:v>47520</c:v>
                </c:pt>
                <c:pt idx="1">
                  <c:v>45910</c:v>
                </c:pt>
                <c:pt idx="2">
                  <c:v>49240</c:v>
                </c:pt>
                <c:pt idx="3">
                  <c:v>54870</c:v>
                </c:pt>
                <c:pt idx="4">
                  <c:v>59189</c:v>
                </c:pt>
                <c:pt idx="5">
                  <c:v>69446</c:v>
                </c:pt>
                <c:pt idx="6">
                  <c:v>75000</c:v>
                </c:pt>
              </c:numCache>
            </c:numRef>
          </c:val>
          <c:smooth val="0"/>
          <c:extLst>
            <c:ext xmlns:c16="http://schemas.microsoft.com/office/drawing/2014/chart" uri="{C3380CC4-5D6E-409C-BE32-E72D297353CC}">
              <c16:uniqueId val="{00000002-8590-48D5-AA49-4F3135EBF99B}"/>
            </c:ext>
          </c:extLst>
        </c:ser>
        <c:ser>
          <c:idx val="3"/>
          <c:order val="3"/>
          <c:tx>
            <c:strRef>
              <c:f>'PIVOT TABLE'!$E$3:$E$4</c:f>
              <c:strCache>
                <c:ptCount val="1"/>
                <c:pt idx="0">
                  <c:v>Nestle India</c:v>
                </c:pt>
              </c:strCache>
            </c:strRef>
          </c:tx>
          <c:spPr>
            <a:ln w="28575" cap="rnd">
              <a:solidFill>
                <a:schemeClr val="accent4"/>
              </a:solidFill>
              <a:round/>
            </a:ln>
            <a:effectLst/>
          </c:spPr>
          <c:marker>
            <c:symbol val="none"/>
          </c:marker>
          <c:cat>
            <c:strRef>
              <c:f>'PIVOT TABLE'!$A$5:$A$12</c:f>
              <c:strCache>
                <c:ptCount val="7"/>
                <c:pt idx="0">
                  <c:v>2019</c:v>
                </c:pt>
                <c:pt idx="1">
                  <c:v>2020</c:v>
                </c:pt>
                <c:pt idx="2">
                  <c:v>2021</c:v>
                </c:pt>
                <c:pt idx="3">
                  <c:v>2022</c:v>
                </c:pt>
                <c:pt idx="4">
                  <c:v>2023</c:v>
                </c:pt>
                <c:pt idx="5">
                  <c:v>2024</c:v>
                </c:pt>
                <c:pt idx="6">
                  <c:v>2025</c:v>
                </c:pt>
              </c:strCache>
            </c:strRef>
          </c:cat>
          <c:val>
            <c:numRef>
              <c:f>'PIVOT TABLE'!$E$5:$E$12</c:f>
              <c:numCache>
                <c:formatCode>#,##0</c:formatCode>
                <c:ptCount val="7"/>
                <c:pt idx="0">
                  <c:v>11225</c:v>
                </c:pt>
                <c:pt idx="1">
                  <c:v>12369</c:v>
                </c:pt>
                <c:pt idx="2">
                  <c:v>13686</c:v>
                </c:pt>
                <c:pt idx="3">
                  <c:v>14744</c:v>
                </c:pt>
                <c:pt idx="4">
                  <c:v>16984</c:v>
                </c:pt>
                <c:pt idx="5">
                  <c:v>18727</c:v>
                </c:pt>
                <c:pt idx="6">
                  <c:v>21000</c:v>
                </c:pt>
              </c:numCache>
            </c:numRef>
          </c:val>
          <c:smooth val="0"/>
          <c:extLst>
            <c:ext xmlns:c16="http://schemas.microsoft.com/office/drawing/2014/chart" uri="{C3380CC4-5D6E-409C-BE32-E72D297353CC}">
              <c16:uniqueId val="{00000003-8590-48D5-AA49-4F3135EBF99B}"/>
            </c:ext>
          </c:extLst>
        </c:ser>
        <c:dLbls>
          <c:showLegendKey val="0"/>
          <c:showVal val="0"/>
          <c:showCatName val="0"/>
          <c:showSerName val="0"/>
          <c:showPercent val="0"/>
          <c:showBubbleSize val="0"/>
        </c:dLbls>
        <c:smooth val="0"/>
        <c:axId val="1000353280"/>
        <c:axId val="1000352800"/>
      </c:lineChart>
      <c:catAx>
        <c:axId val="100035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352800"/>
        <c:crosses val="autoZero"/>
        <c:auto val="1"/>
        <c:lblAlgn val="ctr"/>
        <c:lblOffset val="100"/>
        <c:noMultiLvlLbl val="0"/>
      </c:catAx>
      <c:valAx>
        <c:axId val="10003528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353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8</xdr:col>
      <xdr:colOff>0</xdr:colOff>
      <xdr:row>15</xdr:row>
      <xdr:rowOff>0</xdr:rowOff>
    </xdr:from>
    <xdr:to>
      <xdr:col>15</xdr:col>
      <xdr:colOff>91440</xdr:colOff>
      <xdr:row>30</xdr:row>
      <xdr:rowOff>0</xdr:rowOff>
    </xdr:to>
    <xdr:graphicFrame macro="">
      <xdr:nvGraphicFramePr>
        <xdr:cNvPr id="4" name="Chart 3">
          <a:extLst>
            <a:ext uri="{FF2B5EF4-FFF2-40B4-BE49-F238E27FC236}">
              <a16:creationId xmlns:a16="http://schemas.microsoft.com/office/drawing/2014/main" id="{EC2D1789-05CB-4B53-807F-AFF0A3146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3</xdr:row>
      <xdr:rowOff>3810</xdr:rowOff>
    </xdr:from>
    <xdr:to>
      <xdr:col>10</xdr:col>
      <xdr:colOff>579120</xdr:colOff>
      <xdr:row>17</xdr:row>
      <xdr:rowOff>152400</xdr:rowOff>
    </xdr:to>
    <xdr:graphicFrame macro="">
      <xdr:nvGraphicFramePr>
        <xdr:cNvPr id="2" name="Chart 1">
          <a:extLst>
            <a:ext uri="{FF2B5EF4-FFF2-40B4-BE49-F238E27FC236}">
              <a16:creationId xmlns:a16="http://schemas.microsoft.com/office/drawing/2014/main" id="{4B7B509C-00C5-4A37-3C30-E73185B129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2</xdr:row>
      <xdr:rowOff>0</xdr:rowOff>
    </xdr:from>
    <xdr:to>
      <xdr:col>13</xdr:col>
      <xdr:colOff>561975</xdr:colOff>
      <xdr:row>15</xdr:row>
      <xdr:rowOff>9525</xdr:rowOff>
    </xdr:to>
    <xdr:graphicFrame macro="">
      <xdr:nvGraphicFramePr>
        <xdr:cNvPr id="5" name="Chart 4">
          <a:extLst>
            <a:ext uri="{FF2B5EF4-FFF2-40B4-BE49-F238E27FC236}">
              <a16:creationId xmlns:a16="http://schemas.microsoft.com/office/drawing/2014/main" id="{A8526699-373C-49B6-9CD9-374B51C6E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601980</xdr:colOff>
      <xdr:row>0</xdr:row>
      <xdr:rowOff>0</xdr:rowOff>
    </xdr:from>
    <xdr:to>
      <xdr:col>15</xdr:col>
      <xdr:colOff>297180</xdr:colOff>
      <xdr:row>13</xdr:row>
      <xdr:rowOff>160020</xdr:rowOff>
    </xdr:to>
    <xdr:graphicFrame macro="">
      <xdr:nvGraphicFramePr>
        <xdr:cNvPr id="5" name="Chart 4">
          <a:extLst>
            <a:ext uri="{FF2B5EF4-FFF2-40B4-BE49-F238E27FC236}">
              <a16:creationId xmlns:a16="http://schemas.microsoft.com/office/drawing/2014/main" id="{36236B00-F664-0968-0300-A99531E3F4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106680</xdr:colOff>
      <xdr:row>13</xdr:row>
      <xdr:rowOff>171450</xdr:rowOff>
    </xdr:from>
    <xdr:to>
      <xdr:col>6</xdr:col>
      <xdr:colOff>472440</xdr:colOff>
      <xdr:row>28</xdr:row>
      <xdr:rowOff>171450</xdr:rowOff>
    </xdr:to>
    <xdr:graphicFrame macro="">
      <xdr:nvGraphicFramePr>
        <xdr:cNvPr id="6" name="Chart 5">
          <a:extLst>
            <a:ext uri="{FF2B5EF4-FFF2-40B4-BE49-F238E27FC236}">
              <a16:creationId xmlns:a16="http://schemas.microsoft.com/office/drawing/2014/main" id="{11DFF9AA-3829-FF34-4A04-047D5131E0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586740</xdr:colOff>
      <xdr:row>15</xdr:row>
      <xdr:rowOff>26670</xdr:rowOff>
    </xdr:from>
    <xdr:to>
      <xdr:col>15</xdr:col>
      <xdr:colOff>281940</xdr:colOff>
      <xdr:row>30</xdr:row>
      <xdr:rowOff>26670</xdr:rowOff>
    </xdr:to>
    <xdr:graphicFrame macro="">
      <xdr:nvGraphicFramePr>
        <xdr:cNvPr id="7" name="Chart 6">
          <a:extLst>
            <a:ext uri="{FF2B5EF4-FFF2-40B4-BE49-F238E27FC236}">
              <a16:creationId xmlns:a16="http://schemas.microsoft.com/office/drawing/2014/main" id="{960C8675-9542-716F-8438-EC9C40A3A7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175260</xdr:rowOff>
    </xdr:from>
    <xdr:to>
      <xdr:col>8</xdr:col>
      <xdr:colOff>190500</xdr:colOff>
      <xdr:row>17</xdr:row>
      <xdr:rowOff>129540</xdr:rowOff>
    </xdr:to>
    <xdr:graphicFrame macro="">
      <xdr:nvGraphicFramePr>
        <xdr:cNvPr id="3" name="Chart 2">
          <a:extLst>
            <a:ext uri="{FF2B5EF4-FFF2-40B4-BE49-F238E27FC236}">
              <a16:creationId xmlns:a16="http://schemas.microsoft.com/office/drawing/2014/main" id="{68757ABD-4FA1-4A94-99CB-630BCD321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19</xdr:row>
      <xdr:rowOff>0</xdr:rowOff>
    </xdr:from>
    <xdr:to>
      <xdr:col>8</xdr:col>
      <xdr:colOff>152400</xdr:colOff>
      <xdr:row>32</xdr:row>
      <xdr:rowOff>91440</xdr:rowOff>
    </xdr:to>
    <xdr:graphicFrame macro="">
      <xdr:nvGraphicFramePr>
        <xdr:cNvPr id="4" name="Chart 3">
          <a:extLst>
            <a:ext uri="{FF2B5EF4-FFF2-40B4-BE49-F238E27FC236}">
              <a16:creationId xmlns:a16="http://schemas.microsoft.com/office/drawing/2014/main" id="{030D5E32-575E-40FA-A09A-4FF2E4E5C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297180</xdr:colOff>
      <xdr:row>18</xdr:row>
      <xdr:rowOff>152400</xdr:rowOff>
    </xdr:from>
    <xdr:to>
      <xdr:col>13</xdr:col>
      <xdr:colOff>190500</xdr:colOff>
      <xdr:row>32</xdr:row>
      <xdr:rowOff>68580</xdr:rowOff>
    </xdr:to>
    <xdr:graphicFrame macro="">
      <xdr:nvGraphicFramePr>
        <xdr:cNvPr id="5" name="Chart 4">
          <a:extLst>
            <a:ext uri="{FF2B5EF4-FFF2-40B4-BE49-F238E27FC236}">
              <a16:creationId xmlns:a16="http://schemas.microsoft.com/office/drawing/2014/main" id="{DE46B32E-8DC7-49BC-8033-BE6282ED76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289560</xdr:colOff>
      <xdr:row>18</xdr:row>
      <xdr:rowOff>160020</xdr:rowOff>
    </xdr:from>
    <xdr:to>
      <xdr:col>20</xdr:col>
      <xdr:colOff>312420</xdr:colOff>
      <xdr:row>32</xdr:row>
      <xdr:rowOff>137160</xdr:rowOff>
    </xdr:to>
    <xdr:graphicFrame macro="">
      <xdr:nvGraphicFramePr>
        <xdr:cNvPr id="6" name="Chart 5">
          <a:extLst>
            <a:ext uri="{FF2B5EF4-FFF2-40B4-BE49-F238E27FC236}">
              <a16:creationId xmlns:a16="http://schemas.microsoft.com/office/drawing/2014/main" id="{F75B5A7C-4ED9-4D7F-BECA-92C2981990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411480</xdr:colOff>
      <xdr:row>18</xdr:row>
      <xdr:rowOff>121920</xdr:rowOff>
    </xdr:from>
    <xdr:to>
      <xdr:col>27</xdr:col>
      <xdr:colOff>274320</xdr:colOff>
      <xdr:row>32</xdr:row>
      <xdr:rowOff>114300</xdr:rowOff>
    </xdr:to>
    <xdr:graphicFrame macro="">
      <xdr:nvGraphicFramePr>
        <xdr:cNvPr id="7" name="Chart 6">
          <a:extLst>
            <a:ext uri="{FF2B5EF4-FFF2-40B4-BE49-F238E27FC236}">
              <a16:creationId xmlns:a16="http://schemas.microsoft.com/office/drawing/2014/main" id="{B59AAD25-D71A-46C3-9941-F923C0C7F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274320</xdr:colOff>
      <xdr:row>4</xdr:row>
      <xdr:rowOff>0</xdr:rowOff>
    </xdr:from>
    <xdr:to>
      <xdr:col>14</xdr:col>
      <xdr:colOff>601980</xdr:colOff>
      <xdr:row>17</xdr:row>
      <xdr:rowOff>160020</xdr:rowOff>
    </xdr:to>
    <xdr:graphicFrame macro="">
      <xdr:nvGraphicFramePr>
        <xdr:cNvPr id="9" name="Chart 8">
          <a:extLst>
            <a:ext uri="{FF2B5EF4-FFF2-40B4-BE49-F238E27FC236}">
              <a16:creationId xmlns:a16="http://schemas.microsoft.com/office/drawing/2014/main" id="{1735523F-D996-47B3-A652-AA7927D95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144780</xdr:colOff>
      <xdr:row>3</xdr:row>
      <xdr:rowOff>144780</xdr:rowOff>
    </xdr:from>
    <xdr:to>
      <xdr:col>20</xdr:col>
      <xdr:colOff>518160</xdr:colOff>
      <xdr:row>17</xdr:row>
      <xdr:rowOff>175260</xdr:rowOff>
    </xdr:to>
    <xdr:graphicFrame macro="">
      <xdr:nvGraphicFramePr>
        <xdr:cNvPr id="10" name="Chart 9">
          <a:extLst>
            <a:ext uri="{FF2B5EF4-FFF2-40B4-BE49-F238E27FC236}">
              <a16:creationId xmlns:a16="http://schemas.microsoft.com/office/drawing/2014/main" id="{CAE57B68-C2CB-4D11-ABC5-6B02ED39F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15240</xdr:colOff>
      <xdr:row>4</xdr:row>
      <xdr:rowOff>7620</xdr:rowOff>
    </xdr:from>
    <xdr:to>
      <xdr:col>27</xdr:col>
      <xdr:colOff>441960</xdr:colOff>
      <xdr:row>18</xdr:row>
      <xdr:rowOff>15240</xdr:rowOff>
    </xdr:to>
    <xdr:graphicFrame macro="">
      <xdr:nvGraphicFramePr>
        <xdr:cNvPr id="11" name="Chart 10">
          <a:extLst>
            <a:ext uri="{FF2B5EF4-FFF2-40B4-BE49-F238E27FC236}">
              <a16:creationId xmlns:a16="http://schemas.microsoft.com/office/drawing/2014/main" id="{D2C57A7F-A66C-45F0-BACF-ECE6CC22F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17</xdr:row>
      <xdr:rowOff>152400</xdr:rowOff>
    </xdr:from>
    <xdr:to>
      <xdr:col>1</xdr:col>
      <xdr:colOff>601980</xdr:colOff>
      <xdr:row>31</xdr:row>
      <xdr:rowOff>59055</xdr:rowOff>
    </xdr:to>
    <mc:AlternateContent xmlns:mc="http://schemas.openxmlformats.org/markup-compatibility/2006" xmlns:a14="http://schemas.microsoft.com/office/drawing/2010/main">
      <mc:Choice Requires="a14">
        <xdr:graphicFrame macro="">
          <xdr:nvGraphicFramePr>
            <xdr:cNvPr id="12" name="Company Name">
              <a:extLst>
                <a:ext uri="{FF2B5EF4-FFF2-40B4-BE49-F238E27FC236}">
                  <a16:creationId xmlns:a16="http://schemas.microsoft.com/office/drawing/2014/main" id="{F861B8D3-94FC-4549-83AB-DFE1D67CB8B5}"/>
                </a:ext>
              </a:extLst>
            </xdr:cNvPr>
            <xdr:cNvGraphicFramePr/>
          </xdr:nvGraphicFramePr>
          <xdr:xfrm>
            <a:off x="0" y="0"/>
            <a:ext cx="0" cy="0"/>
          </xdr:xfrm>
          <a:graphic>
            <a:graphicData uri="http://schemas.microsoft.com/office/drawing/2010/slicer">
              <sle:slicer xmlns:sle="http://schemas.microsoft.com/office/drawing/2010/slicer" name="Company Name"/>
            </a:graphicData>
          </a:graphic>
        </xdr:graphicFrame>
      </mc:Choice>
      <mc:Fallback xmlns="">
        <xdr:sp macro="" textlink="">
          <xdr:nvSpPr>
            <xdr:cNvPr id="0" name=""/>
            <xdr:cNvSpPr>
              <a:spLocks noTextEdit="1"/>
            </xdr:cNvSpPr>
          </xdr:nvSpPr>
          <xdr:spPr>
            <a:xfrm>
              <a:off x="0" y="3210983"/>
              <a:ext cx="1215813" cy="24254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15240</xdr:rowOff>
    </xdr:from>
    <xdr:to>
      <xdr:col>1</xdr:col>
      <xdr:colOff>601980</xdr:colOff>
      <xdr:row>16</xdr:row>
      <xdr:rowOff>104775</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1BBD8B13-B380-4817-8EF2-AC231F1B0F8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554990"/>
              <a:ext cx="1215813" cy="24284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6.704305092593" createdVersion="8" refreshedVersion="8" minRefreshableVersion="3" recordCount="28" xr:uid="{17A3A7CA-3DBE-46DE-AEE6-BDF2D8069D9C}">
  <cacheSource type="worksheet">
    <worksheetSource ref="A3:J31" sheet="Peer Comparison"/>
  </cacheSource>
  <cacheFields count="10">
    <cacheField name="Company Name" numFmtId="0">
      <sharedItems count="4">
        <s v="ITC Ltd"/>
        <s v="Nestle India"/>
        <s v="Britannia Industries"/>
        <s v="Hindustan Unilever"/>
      </sharedItems>
    </cacheField>
    <cacheField name="Year" numFmtId="1">
      <sharedItems containsSemiMixedTypes="0" containsString="0" containsNumber="1" containsInteger="1" minValue="2019" maxValue="2025" count="7">
        <n v="2019"/>
        <n v="2020"/>
        <n v="2021"/>
        <n v="2022"/>
        <n v="2023"/>
        <n v="2024"/>
        <n v="2025"/>
      </sharedItems>
    </cacheField>
    <cacheField name="Revenue _x000a_(INR Cr.)" numFmtId="3">
      <sharedItems containsSemiMixedTypes="0" containsString="0" containsNumber="1" containsInteger="1" minValue="11054" maxValue="75000"/>
    </cacheField>
    <cacheField name="EBITDA_x000a_Margin %" numFmtId="167">
      <sharedItems containsSemiMixedTypes="0" containsString="0" containsNumber="1" minValue="0.121" maxValue="0.36299999999999999"/>
    </cacheField>
    <cacheField name="Return on_x000a_Equity %" numFmtId="167">
      <sharedItems containsSemiMixedTypes="0" containsString="0" containsNumber="1" minValue="0.19500000000000001" maxValue="0.85"/>
    </cacheField>
    <cacheField name="Return on_x000a_Capital %" numFmtId="167">
      <sharedItems containsSemiMixedTypes="0" containsString="0" containsNumber="1" minValue="0.25600000000000001" maxValue="0.94099999999999995"/>
    </cacheField>
    <cacheField name="Current_x000a_Ratio" numFmtId="2">
      <sharedItems containsSemiMixedTypes="0" containsString="0" containsNumber="1" minValue="0.55000000000000004" maxValue="3.35"/>
    </cacheField>
    <cacheField name="Debt/Equity_x000a_Ratio" numFmtId="2">
      <sharedItems containsSemiMixedTypes="0" containsString="0" containsNumber="1" minValue="0" maxValue="0.12"/>
    </cacheField>
    <cacheField name="Interest_x000a_Coverage" numFmtId="0">
      <sharedItems containsMixedTypes="1" containsNumber="1" minValue="18.399999999999999" maxValue="168.2"/>
    </cacheField>
    <cacheField name="Asset_x000a_Turnover" numFmtId="2">
      <sharedItems containsSemiMixedTypes="0" containsString="0" containsNumber="1" minValue="0.66" maxValue="2.19"/>
    </cacheField>
  </cacheFields>
  <extLst>
    <ext xmlns:x14="http://schemas.microsoft.com/office/spreadsheetml/2009/9/main" uri="{725AE2AE-9491-48be-B2B4-4EB974FC3084}">
      <x14:pivotCacheDefinition pivotCacheId="5421900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x v="0"/>
    <n v="47520"/>
    <n v="0.34200000000000003"/>
    <n v="0.23100000000000001"/>
    <n v="0.29799999999999999"/>
    <n v="2.5099999999999998"/>
    <n v="0"/>
    <s v="N/A"/>
    <n v="0.72"/>
  </r>
  <r>
    <x v="0"/>
    <x v="1"/>
    <n v="45910"/>
    <n v="0.31900000000000001"/>
    <n v="0.217"/>
    <n v="0.28100000000000003"/>
    <n v="2.64"/>
    <n v="0"/>
    <s v="N/A"/>
    <n v="0.68"/>
  </r>
  <r>
    <x v="0"/>
    <x v="2"/>
    <n v="49240"/>
    <n v="0.32800000000000001"/>
    <n v="0.19500000000000001"/>
    <n v="0.25600000000000001"/>
    <n v="2.88"/>
    <n v="0"/>
    <s v="N/A"/>
    <n v="0.66"/>
  </r>
  <r>
    <x v="0"/>
    <x v="3"/>
    <n v="54870"/>
    <n v="0.35199999999999998"/>
    <n v="0.25800000000000001"/>
    <n v="0.32100000000000001"/>
    <n v="2.92"/>
    <n v="0"/>
    <s v="N/A"/>
    <n v="0.71"/>
  </r>
  <r>
    <x v="0"/>
    <x v="4"/>
    <n v="59189"/>
    <n v="0.36099999999999999"/>
    <n v="0.28899999999999998"/>
    <n v="0.35599999999999998"/>
    <n v="3.1"/>
    <n v="0"/>
    <s v="N/A"/>
    <n v="0.76"/>
  </r>
  <r>
    <x v="0"/>
    <x v="5"/>
    <n v="69446"/>
    <n v="0.35799999999999998"/>
    <n v="0.30099999999999999"/>
    <n v="0.36799999999999999"/>
    <n v="3.28"/>
    <n v="0"/>
    <s v="N/A"/>
    <n v="0.79"/>
  </r>
  <r>
    <x v="0"/>
    <x v="6"/>
    <n v="75000"/>
    <n v="0.36299999999999999"/>
    <n v="0.31"/>
    <n v="0.378"/>
    <n v="3.35"/>
    <n v="0"/>
    <s v="N/A"/>
    <n v="0.82"/>
  </r>
  <r>
    <x v="1"/>
    <x v="0"/>
    <n v="11225"/>
    <n v="0.221"/>
    <n v="0.69499999999999995"/>
    <n v="0.78100000000000003"/>
    <n v="0.55000000000000004"/>
    <n v="0.01"/>
    <n v="98.3"/>
    <n v="1.82"/>
  </r>
  <r>
    <x v="1"/>
    <x v="1"/>
    <n v="12369"/>
    <n v="0.23499999999999999"/>
    <n v="0.71199999999999997"/>
    <n v="0.80100000000000005"/>
    <n v="0.61"/>
    <n v="0.01"/>
    <n v="112.4"/>
    <n v="1.91"/>
  </r>
  <r>
    <x v="1"/>
    <x v="2"/>
    <n v="13686"/>
    <n v="0.24099999999999999"/>
    <n v="0.73"/>
    <n v="0.82399999999999995"/>
    <n v="0.68"/>
    <n v="0.02"/>
    <n v="98.7"/>
    <n v="1.94"/>
  </r>
  <r>
    <x v="1"/>
    <x v="3"/>
    <n v="14744"/>
    <n v="0.23799999999999999"/>
    <n v="0.72099999999999997"/>
    <n v="0.81200000000000006"/>
    <n v="0.72"/>
    <n v="0.02"/>
    <n v="103.2"/>
    <n v="2.0099999999999998"/>
  </r>
  <r>
    <x v="1"/>
    <x v="4"/>
    <n v="16984"/>
    <n v="0.245"/>
    <n v="0.748"/>
    <n v="0.84099999999999997"/>
    <n v="0.71"/>
    <n v="0.01"/>
    <n v="118.6"/>
    <n v="2.09"/>
  </r>
  <r>
    <x v="1"/>
    <x v="5"/>
    <n v="18727"/>
    <n v="0.248"/>
    <n v="0.76200000000000001"/>
    <n v="0.85699999999999998"/>
    <n v="0.74"/>
    <n v="0.01"/>
    <n v="122.3"/>
    <n v="2.14"/>
  </r>
  <r>
    <x v="1"/>
    <x v="6"/>
    <n v="21000"/>
    <n v="0.251"/>
    <n v="0.77"/>
    <n v="0.86499999999999999"/>
    <n v="0.76"/>
    <n v="0.01"/>
    <n v="128.9"/>
    <n v="2.19"/>
  </r>
  <r>
    <x v="2"/>
    <x v="0"/>
    <n v="11054"/>
    <n v="0.121"/>
    <n v="0.45200000000000001"/>
    <n v="0.53800000000000003"/>
    <n v="0.62"/>
    <n v="0.12"/>
    <n v="18.399999999999999"/>
    <n v="1.42"/>
  </r>
  <r>
    <x v="2"/>
    <x v="1"/>
    <n v="11888"/>
    <n v="0.14199999999999999"/>
    <n v="0.51200000000000001"/>
    <n v="0.59799999999999998"/>
    <n v="0.71"/>
    <n v="0.09"/>
    <n v="22.6"/>
    <n v="1.48"/>
  </r>
  <r>
    <x v="2"/>
    <x v="2"/>
    <n v="13268"/>
    <n v="0.156"/>
    <n v="0.56799999999999995"/>
    <n v="0.65200000000000002"/>
    <n v="0.78"/>
    <n v="7.0000000000000007E-2"/>
    <n v="28.1"/>
    <n v="1.52"/>
  </r>
  <r>
    <x v="2"/>
    <x v="3"/>
    <n v="14136"/>
    <n v="0.14799999999999999"/>
    <n v="0.54100000000000004"/>
    <n v="0.628"/>
    <n v="0.82"/>
    <n v="0.06"/>
    <n v="25.3"/>
    <n v="1.56"/>
  </r>
  <r>
    <x v="2"/>
    <x v="4"/>
    <n v="15827"/>
    <n v="0.158"/>
    <n v="0.57199999999999995"/>
    <n v="0.65800000000000003"/>
    <n v="0.89"/>
    <n v="0.05"/>
    <n v="32.700000000000003"/>
    <n v="1.61"/>
  </r>
  <r>
    <x v="2"/>
    <x v="5"/>
    <n v="16544"/>
    <n v="0.16300000000000001"/>
    <n v="0.58899999999999997"/>
    <n v="0.67400000000000004"/>
    <n v="0.92"/>
    <n v="0.04"/>
    <n v="36.4"/>
    <n v="1.65"/>
  </r>
  <r>
    <x v="2"/>
    <x v="6"/>
    <n v="18200"/>
    <n v="0.16800000000000001"/>
    <n v="0.60099999999999998"/>
    <n v="0.68799999999999994"/>
    <n v="0.96"/>
    <n v="0.03"/>
    <n v="41.2"/>
    <n v="1.71"/>
  </r>
  <r>
    <x v="3"/>
    <x v="0"/>
    <n v="38273"/>
    <n v="0.22900000000000001"/>
    <n v="0.80100000000000005"/>
    <n v="0.89200000000000002"/>
    <n v="0.68"/>
    <n v="0.01"/>
    <n v="142.1"/>
    <n v="1.38"/>
  </r>
  <r>
    <x v="3"/>
    <x v="1"/>
    <n v="38785"/>
    <n v="0.23100000000000001"/>
    <n v="0.81200000000000006"/>
    <n v="0.90100000000000002"/>
    <n v="0.71"/>
    <n v="0.01"/>
    <n v="148.30000000000001"/>
    <n v="1.41"/>
  </r>
  <r>
    <x v="3"/>
    <x v="2"/>
    <n v="45311"/>
    <n v="0.23799999999999999"/>
    <n v="0.83399999999999996"/>
    <n v="0.92100000000000004"/>
    <n v="0.75"/>
    <n v="0.01"/>
    <n v="156.69999999999999"/>
    <n v="1.44"/>
  </r>
  <r>
    <x v="3"/>
    <x v="3"/>
    <n v="52612"/>
    <n v="0.23200000000000001"/>
    <n v="0.82099999999999995"/>
    <n v="0.91200000000000003"/>
    <n v="0.78"/>
    <n v="0.01"/>
    <n v="152.4"/>
    <n v="1.47"/>
  </r>
  <r>
    <x v="3"/>
    <x v="4"/>
    <n v="59579"/>
    <n v="0.23499999999999999"/>
    <n v="0.83799999999999997"/>
    <n v="0.92800000000000005"/>
    <n v="0.81"/>
    <n v="0.01"/>
    <n v="159.80000000000001"/>
    <n v="1.52"/>
  </r>
  <r>
    <x v="3"/>
    <x v="5"/>
    <n v="62603"/>
    <n v="0.24"/>
    <n v="0.84499999999999997"/>
    <n v="0.93400000000000005"/>
    <n v="0.83"/>
    <n v="0.01"/>
    <n v="163.4"/>
    <n v="1.56"/>
  </r>
  <r>
    <x v="3"/>
    <x v="6"/>
    <n v="65000"/>
    <n v="0.245"/>
    <n v="0.85"/>
    <n v="0.94099999999999995"/>
    <n v="0.85"/>
    <n v="0.01"/>
    <n v="168.2"/>
    <n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486374-7E35-467A-897C-37266B8B56A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6:F35" firstHeaderRow="1" firstDataRow="2" firstDataCol="1"/>
  <pivotFields count="10">
    <pivotField axis="axisCol" showAll="0">
      <items count="5">
        <item x="2"/>
        <item x="3"/>
        <item x="0"/>
        <item x="1"/>
        <item t="default"/>
      </items>
    </pivotField>
    <pivotField axis="axisRow" numFmtId="1" showAll="0">
      <items count="8">
        <item x="0"/>
        <item x="1"/>
        <item x="2"/>
        <item x="3"/>
        <item x="4"/>
        <item x="5"/>
        <item x="6"/>
        <item t="default"/>
      </items>
    </pivotField>
    <pivotField numFmtId="3" showAll="0"/>
    <pivotField numFmtId="167" showAll="0"/>
    <pivotField numFmtId="167" showAll="0"/>
    <pivotField dataField="1" numFmtId="167" showAll="0"/>
    <pivotField numFmtId="2" showAll="0"/>
    <pivotField numFmtId="2" showAll="0"/>
    <pivotField showAll="0"/>
    <pivotField numFmtId="2" showAll="0"/>
  </pivotFields>
  <rowFields count="1">
    <field x="1"/>
  </rowFields>
  <rowItems count="8">
    <i>
      <x/>
    </i>
    <i>
      <x v="1"/>
    </i>
    <i>
      <x v="2"/>
    </i>
    <i>
      <x v="3"/>
    </i>
    <i>
      <x v="4"/>
    </i>
    <i>
      <x v="5"/>
    </i>
    <i>
      <x v="6"/>
    </i>
    <i t="grand">
      <x/>
    </i>
  </rowItems>
  <colFields count="1">
    <field x="0"/>
  </colFields>
  <colItems count="5">
    <i>
      <x/>
    </i>
    <i>
      <x v="1"/>
    </i>
    <i>
      <x v="2"/>
    </i>
    <i>
      <x v="3"/>
    </i>
    <i t="grand">
      <x/>
    </i>
  </colItems>
  <dataFields count="1">
    <dataField name="Sum of Return on_x000a_Capital %" fld="5" baseField="0" baseItem="0" numFmtId="167"/>
  </dataFields>
  <chartFormats count="4">
    <chartFormat chart="7" format="8" series="1">
      <pivotArea type="data" outline="0" fieldPosition="0">
        <references count="2">
          <reference field="4294967294" count="1" selected="0">
            <x v="0"/>
          </reference>
          <reference field="0" count="1" selected="0">
            <x v="0"/>
          </reference>
        </references>
      </pivotArea>
    </chartFormat>
    <chartFormat chart="7" format="9" series="1">
      <pivotArea type="data" outline="0" fieldPosition="0">
        <references count="2">
          <reference field="4294967294" count="1" selected="0">
            <x v="0"/>
          </reference>
          <reference field="0" count="1" selected="0">
            <x v="1"/>
          </reference>
        </references>
      </pivotArea>
    </chartFormat>
    <chartFormat chart="7" format="10" series="1">
      <pivotArea type="data" outline="0" fieldPosition="0">
        <references count="2">
          <reference field="4294967294" count="1" selected="0">
            <x v="0"/>
          </reference>
          <reference field="0" count="1" selected="0">
            <x v="2"/>
          </reference>
        </references>
      </pivotArea>
    </chartFormat>
    <chartFormat chart="7" format="1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C650DB-0655-4CC5-A4F3-8796AAF2EE21}"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5:M24" firstHeaderRow="1" firstDataRow="2" firstDataCol="1"/>
  <pivotFields count="10">
    <pivotField axis="axisCol" showAll="0">
      <items count="5">
        <item x="2"/>
        <item x="3"/>
        <item x="0"/>
        <item x="1"/>
        <item t="default"/>
      </items>
    </pivotField>
    <pivotField axis="axisRow" numFmtId="1" showAll="0">
      <items count="8">
        <item x="0"/>
        <item x="1"/>
        <item x="2"/>
        <item x="3"/>
        <item x="4"/>
        <item x="5"/>
        <item x="6"/>
        <item t="default"/>
      </items>
    </pivotField>
    <pivotField numFmtId="3" showAll="0"/>
    <pivotField numFmtId="167" showAll="0"/>
    <pivotField numFmtId="167" showAll="0"/>
    <pivotField numFmtId="167" showAll="0"/>
    <pivotField numFmtId="2" showAll="0"/>
    <pivotField numFmtId="2" showAll="0"/>
    <pivotField dataField="1" showAll="0"/>
    <pivotField numFmtId="2" showAll="0"/>
  </pivotFields>
  <rowFields count="1">
    <field x="1"/>
  </rowFields>
  <rowItems count="8">
    <i>
      <x/>
    </i>
    <i>
      <x v="1"/>
    </i>
    <i>
      <x v="2"/>
    </i>
    <i>
      <x v="3"/>
    </i>
    <i>
      <x v="4"/>
    </i>
    <i>
      <x v="5"/>
    </i>
    <i>
      <x v="6"/>
    </i>
    <i t="grand">
      <x/>
    </i>
  </rowItems>
  <colFields count="1">
    <field x="0"/>
  </colFields>
  <colItems count="5">
    <i>
      <x/>
    </i>
    <i>
      <x v="1"/>
    </i>
    <i>
      <x v="2"/>
    </i>
    <i>
      <x v="3"/>
    </i>
    <i t="grand">
      <x/>
    </i>
  </colItems>
  <dataFields count="1">
    <dataField name="Count of Interest_x000a_Coverage" fld="8" subtotal="count" baseField="0" baseItem="0"/>
  </dataFields>
  <chartFormats count="8">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 chart="1" format="3" series="1">
      <pivotArea type="data" outline="0" fieldPosition="0">
        <references count="2">
          <reference field="4294967294" count="1" selected="0">
            <x v="0"/>
          </reference>
          <reference field="0" count="1" selected="0">
            <x v="3"/>
          </reference>
        </references>
      </pivotArea>
    </chartFormat>
    <chartFormat chart="4" format="8" series="1">
      <pivotArea type="data" outline="0" fieldPosition="0">
        <references count="2">
          <reference field="4294967294" count="1" selected="0">
            <x v="0"/>
          </reference>
          <reference field="0" count="1" selected="0">
            <x v="0"/>
          </reference>
        </references>
      </pivotArea>
    </chartFormat>
    <chartFormat chart="4" format="9" series="1">
      <pivotArea type="data" outline="0" fieldPosition="0">
        <references count="2">
          <reference field="4294967294" count="1" selected="0">
            <x v="0"/>
          </reference>
          <reference field="0" count="1" selected="0">
            <x v="1"/>
          </reference>
        </references>
      </pivotArea>
    </chartFormat>
    <chartFormat chart="4" format="10" series="1">
      <pivotArea type="data" outline="0" fieldPosition="0">
        <references count="2">
          <reference field="4294967294" count="1" selected="0">
            <x v="0"/>
          </reference>
          <reference field="0" count="1" selected="0">
            <x v="2"/>
          </reference>
        </references>
      </pivotArea>
    </chartFormat>
    <chartFormat chart="4" format="1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C2869D-5A5D-46B8-BC9F-A30671DA24AC}"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F12" firstHeaderRow="1" firstDataRow="2" firstDataCol="1"/>
  <pivotFields count="10">
    <pivotField axis="axisCol" showAll="0">
      <items count="5">
        <item x="2"/>
        <item x="3"/>
        <item x="0"/>
        <item x="1"/>
        <item t="default"/>
      </items>
    </pivotField>
    <pivotField axis="axisRow" numFmtId="1" showAll="0">
      <items count="8">
        <item x="0"/>
        <item x="1"/>
        <item x="2"/>
        <item x="3"/>
        <item x="4"/>
        <item x="5"/>
        <item x="6"/>
        <item t="default"/>
      </items>
    </pivotField>
    <pivotField dataField="1" numFmtId="3" showAll="0"/>
    <pivotField numFmtId="167" showAll="0"/>
    <pivotField numFmtId="167" showAll="0"/>
    <pivotField numFmtId="167" showAll="0"/>
    <pivotField numFmtId="2" showAll="0"/>
    <pivotField numFmtId="2" showAll="0"/>
    <pivotField showAll="0"/>
    <pivotField numFmtId="2" showAll="0"/>
  </pivotFields>
  <rowFields count="1">
    <field x="1"/>
  </rowFields>
  <rowItems count="8">
    <i>
      <x/>
    </i>
    <i>
      <x v="1"/>
    </i>
    <i>
      <x v="2"/>
    </i>
    <i>
      <x v="3"/>
    </i>
    <i>
      <x v="4"/>
    </i>
    <i>
      <x v="5"/>
    </i>
    <i>
      <x v="6"/>
    </i>
    <i t="grand">
      <x/>
    </i>
  </rowItems>
  <colFields count="1">
    <field x="0"/>
  </colFields>
  <colItems count="5">
    <i>
      <x/>
    </i>
    <i>
      <x v="1"/>
    </i>
    <i>
      <x v="2"/>
    </i>
    <i>
      <x v="3"/>
    </i>
    <i t="grand">
      <x/>
    </i>
  </colItems>
  <dataFields count="1">
    <dataField name="Sum of Revenue _x000a_(INR Cr.)" fld="2" baseField="0" baseItem="0" numFmtId="3"/>
  </dataFields>
  <chartFormats count="8">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 chart="1" format="3" series="1">
      <pivotArea type="data" outline="0" fieldPosition="0">
        <references count="2">
          <reference field="4294967294" count="1" selected="0">
            <x v="0"/>
          </reference>
          <reference field="0" count="1" selected="0">
            <x v="3"/>
          </reference>
        </references>
      </pivotArea>
    </chartFormat>
    <chartFormat chart="4" format="8" series="1">
      <pivotArea type="data" outline="0" fieldPosition="0">
        <references count="2">
          <reference field="4294967294" count="1" selected="0">
            <x v="0"/>
          </reference>
          <reference field="0" count="1" selected="0">
            <x v="0"/>
          </reference>
        </references>
      </pivotArea>
    </chartFormat>
    <chartFormat chart="4" format="9" series="1">
      <pivotArea type="data" outline="0" fieldPosition="0">
        <references count="2">
          <reference field="4294967294" count="1" selected="0">
            <x v="0"/>
          </reference>
          <reference field="0" count="1" selected="0">
            <x v="1"/>
          </reference>
        </references>
      </pivotArea>
    </chartFormat>
    <chartFormat chart="4" format="10" series="1">
      <pivotArea type="data" outline="0" fieldPosition="0">
        <references count="2">
          <reference field="4294967294" count="1" selected="0">
            <x v="0"/>
          </reference>
          <reference field="0" count="1" selected="0">
            <x v="2"/>
          </reference>
        </references>
      </pivotArea>
    </chartFormat>
    <chartFormat chart="4" format="1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C596D2-CEF2-4F9C-9A97-B638365ED487}"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3:M12" firstHeaderRow="1" firstDataRow="2" firstDataCol="1"/>
  <pivotFields count="10">
    <pivotField axis="axisCol" showAll="0">
      <items count="5">
        <item x="2"/>
        <item x="3"/>
        <item x="0"/>
        <item x="1"/>
        <item t="default"/>
      </items>
    </pivotField>
    <pivotField axis="axisRow" numFmtId="1" showAll="0">
      <items count="8">
        <item x="0"/>
        <item x="1"/>
        <item x="2"/>
        <item x="3"/>
        <item x="4"/>
        <item x="5"/>
        <item x="6"/>
        <item t="default"/>
      </items>
    </pivotField>
    <pivotField numFmtId="3" showAll="0"/>
    <pivotField numFmtId="167" showAll="0"/>
    <pivotField numFmtId="167" showAll="0"/>
    <pivotField numFmtId="167" showAll="0"/>
    <pivotField numFmtId="2" showAll="0"/>
    <pivotField dataField="1" numFmtId="2" showAll="0"/>
    <pivotField showAll="0"/>
    <pivotField numFmtId="2" showAll="0"/>
  </pivotFields>
  <rowFields count="1">
    <field x="1"/>
  </rowFields>
  <rowItems count="8">
    <i>
      <x/>
    </i>
    <i>
      <x v="1"/>
    </i>
    <i>
      <x v="2"/>
    </i>
    <i>
      <x v="3"/>
    </i>
    <i>
      <x v="4"/>
    </i>
    <i>
      <x v="5"/>
    </i>
    <i>
      <x v="6"/>
    </i>
    <i t="grand">
      <x/>
    </i>
  </rowItems>
  <colFields count="1">
    <field x="0"/>
  </colFields>
  <colItems count="5">
    <i>
      <x/>
    </i>
    <i>
      <x v="1"/>
    </i>
    <i>
      <x v="2"/>
    </i>
    <i>
      <x v="3"/>
    </i>
    <i t="grand">
      <x/>
    </i>
  </colItems>
  <dataFields count="1">
    <dataField name="Sum of Debt/Equity_x000a_Ratio" fld="7" baseField="0" baseItem="0" numFmtId="2"/>
  </dataFields>
  <chartFormats count="8">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3" format="2" series="1">
      <pivotArea type="data" outline="0" fieldPosition="0">
        <references count="2">
          <reference field="4294967294" count="1" selected="0">
            <x v="0"/>
          </reference>
          <reference field="0" count="1" selected="0">
            <x v="2"/>
          </reference>
        </references>
      </pivotArea>
    </chartFormat>
    <chartFormat chart="3" format="3" series="1">
      <pivotArea type="data" outline="0" fieldPosition="0">
        <references count="2">
          <reference field="4294967294" count="1" selected="0">
            <x v="0"/>
          </reference>
          <reference field="0" count="1" selected="0">
            <x v="3"/>
          </reference>
        </references>
      </pivotArea>
    </chartFormat>
    <chartFormat chart="6" format="8" series="1">
      <pivotArea type="data" outline="0" fieldPosition="0">
        <references count="2">
          <reference field="4294967294" count="1" selected="0">
            <x v="0"/>
          </reference>
          <reference field="0" count="1" selected="0">
            <x v="0"/>
          </reference>
        </references>
      </pivotArea>
    </chartFormat>
    <chartFormat chart="6" format="9" series="1">
      <pivotArea type="data" outline="0" fieldPosition="0">
        <references count="2">
          <reference field="4294967294" count="1" selected="0">
            <x v="0"/>
          </reference>
          <reference field="0" count="1" selected="0">
            <x v="1"/>
          </reference>
        </references>
      </pivotArea>
    </chartFormat>
    <chartFormat chart="6" format="10" series="1">
      <pivotArea type="data" outline="0" fieldPosition="0">
        <references count="2">
          <reference field="4294967294" count="1" selected="0">
            <x v="0"/>
          </reference>
          <reference field="0" count="1" selected="0">
            <x v="2"/>
          </reference>
        </references>
      </pivotArea>
    </chartFormat>
    <chartFormat chart="6" format="1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DE5236-ECAE-4682-A7CA-591873341AEA}"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38:M47" firstHeaderRow="1" firstDataRow="2" firstDataCol="1"/>
  <pivotFields count="10">
    <pivotField axis="axisCol" showAll="0">
      <items count="5">
        <item x="2"/>
        <item x="3"/>
        <item x="0"/>
        <item x="1"/>
        <item t="default"/>
      </items>
    </pivotField>
    <pivotField axis="axisRow" numFmtId="1" showAll="0">
      <items count="8">
        <item x="0"/>
        <item x="1"/>
        <item x="2"/>
        <item x="3"/>
        <item x="4"/>
        <item x="5"/>
        <item x="6"/>
        <item t="default"/>
      </items>
    </pivotField>
    <pivotField numFmtId="3" showAll="0"/>
    <pivotField dataField="1" numFmtId="167" showAll="0"/>
    <pivotField numFmtId="167" showAll="0"/>
    <pivotField numFmtId="167" showAll="0"/>
    <pivotField numFmtId="2" showAll="0"/>
    <pivotField numFmtId="2" showAll="0"/>
    <pivotField showAll="0"/>
    <pivotField numFmtId="2" showAll="0"/>
  </pivotFields>
  <rowFields count="1">
    <field x="1"/>
  </rowFields>
  <rowItems count="8">
    <i>
      <x/>
    </i>
    <i>
      <x v="1"/>
    </i>
    <i>
      <x v="2"/>
    </i>
    <i>
      <x v="3"/>
    </i>
    <i>
      <x v="4"/>
    </i>
    <i>
      <x v="5"/>
    </i>
    <i>
      <x v="6"/>
    </i>
    <i t="grand">
      <x/>
    </i>
  </rowItems>
  <colFields count="1">
    <field x="0"/>
  </colFields>
  <colItems count="5">
    <i>
      <x/>
    </i>
    <i>
      <x v="1"/>
    </i>
    <i>
      <x v="2"/>
    </i>
    <i>
      <x v="3"/>
    </i>
    <i t="grand">
      <x/>
    </i>
  </colItems>
  <dataFields count="1">
    <dataField name="Sum of EBITDA_x000a_Margin %" fld="3" baseField="0" baseItem="0" numFmtId="167"/>
  </dataFields>
  <chartFormats count="4">
    <chartFormat chart="3" format="8" series="1">
      <pivotArea type="data" outline="0" fieldPosition="0">
        <references count="2">
          <reference field="4294967294" count="1" selected="0">
            <x v="0"/>
          </reference>
          <reference field="0" count="1" selected="0">
            <x v="0"/>
          </reference>
        </references>
      </pivotArea>
    </chartFormat>
    <chartFormat chart="3" format="9" series="1">
      <pivotArea type="data" outline="0" fieldPosition="0">
        <references count="2">
          <reference field="4294967294" count="1" selected="0">
            <x v="0"/>
          </reference>
          <reference field="0" count="1" selected="0">
            <x v="1"/>
          </reference>
        </references>
      </pivotArea>
    </chartFormat>
    <chartFormat chart="3" format="10" series="1">
      <pivotArea type="data" outline="0" fieldPosition="0">
        <references count="2">
          <reference field="4294967294" count="1" selected="0">
            <x v="0"/>
          </reference>
          <reference field="0" count="1" selected="0">
            <x v="2"/>
          </reference>
        </references>
      </pivotArea>
    </chartFormat>
    <chartFormat chart="3" format="1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559339-029C-402D-8237-171FAEED1E3B}"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26:M35" firstHeaderRow="1" firstDataRow="2" firstDataCol="1"/>
  <pivotFields count="10">
    <pivotField axis="axisCol" showAll="0">
      <items count="5">
        <item x="2"/>
        <item x="3"/>
        <item x="0"/>
        <item x="1"/>
        <item t="default"/>
      </items>
    </pivotField>
    <pivotField axis="axisRow" numFmtId="1" showAll="0">
      <items count="8">
        <item x="0"/>
        <item x="1"/>
        <item x="2"/>
        <item x="3"/>
        <item x="4"/>
        <item x="5"/>
        <item x="6"/>
        <item t="default"/>
      </items>
    </pivotField>
    <pivotField numFmtId="3" showAll="0"/>
    <pivotField numFmtId="167" showAll="0"/>
    <pivotField numFmtId="167" showAll="0"/>
    <pivotField numFmtId="167" showAll="0"/>
    <pivotField numFmtId="2" showAll="0"/>
    <pivotField numFmtId="2" showAll="0"/>
    <pivotField showAll="0"/>
    <pivotField dataField="1" numFmtId="2" showAll="0"/>
  </pivotFields>
  <rowFields count="1">
    <field x="1"/>
  </rowFields>
  <rowItems count="8">
    <i>
      <x/>
    </i>
    <i>
      <x v="1"/>
    </i>
    <i>
      <x v="2"/>
    </i>
    <i>
      <x v="3"/>
    </i>
    <i>
      <x v="4"/>
    </i>
    <i>
      <x v="5"/>
    </i>
    <i>
      <x v="6"/>
    </i>
    <i t="grand">
      <x/>
    </i>
  </rowItems>
  <colFields count="1">
    <field x="0"/>
  </colFields>
  <colItems count="5">
    <i>
      <x/>
    </i>
    <i>
      <x v="1"/>
    </i>
    <i>
      <x v="2"/>
    </i>
    <i>
      <x v="3"/>
    </i>
    <i t="grand">
      <x/>
    </i>
  </colItems>
  <dataFields count="1">
    <dataField name="Sum of Asset_x000a_Turnover" fld="9" baseField="0" baseItem="0" numFmtId="2"/>
  </dataFields>
  <chartFormats count="4">
    <chartFormat chart="7" format="12" series="1">
      <pivotArea type="data" outline="0" fieldPosition="0">
        <references count="2">
          <reference field="4294967294" count="1" selected="0">
            <x v="0"/>
          </reference>
          <reference field="0" count="1" selected="0">
            <x v="0"/>
          </reference>
        </references>
      </pivotArea>
    </chartFormat>
    <chartFormat chart="7" format="13" series="1">
      <pivotArea type="data" outline="0" fieldPosition="0">
        <references count="2">
          <reference field="4294967294" count="1" selected="0">
            <x v="0"/>
          </reference>
          <reference field="0" count="1" selected="0">
            <x v="1"/>
          </reference>
        </references>
      </pivotArea>
    </chartFormat>
    <chartFormat chart="7" format="14" series="1">
      <pivotArea type="data" outline="0" fieldPosition="0">
        <references count="2">
          <reference field="4294967294" count="1" selected="0">
            <x v="0"/>
          </reference>
          <reference field="0" count="1" selected="0">
            <x v="2"/>
          </reference>
        </references>
      </pivotArea>
    </chartFormat>
    <chartFormat chart="7" format="15"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190ED6-172E-4386-A7E4-F8B19F76CA12}"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8:F47" firstHeaderRow="1" firstDataRow="2" firstDataCol="1"/>
  <pivotFields count="10">
    <pivotField axis="axisCol" showAll="0">
      <items count="5">
        <item x="2"/>
        <item x="3"/>
        <item x="0"/>
        <item x="1"/>
        <item t="default"/>
      </items>
    </pivotField>
    <pivotField axis="axisRow" numFmtId="1" showAll="0">
      <items count="8">
        <item x="0"/>
        <item x="1"/>
        <item x="2"/>
        <item x="3"/>
        <item x="4"/>
        <item x="5"/>
        <item x="6"/>
        <item t="default"/>
      </items>
    </pivotField>
    <pivotField numFmtId="3" showAll="0"/>
    <pivotField numFmtId="167" showAll="0"/>
    <pivotField numFmtId="167" showAll="0"/>
    <pivotField numFmtId="167" showAll="0"/>
    <pivotField dataField="1" numFmtId="2" showAll="0"/>
    <pivotField numFmtId="2" showAll="0"/>
    <pivotField showAll="0"/>
    <pivotField numFmtId="2" showAll="0"/>
  </pivotFields>
  <rowFields count="1">
    <field x="1"/>
  </rowFields>
  <rowItems count="8">
    <i>
      <x/>
    </i>
    <i>
      <x v="1"/>
    </i>
    <i>
      <x v="2"/>
    </i>
    <i>
      <x v="3"/>
    </i>
    <i>
      <x v="4"/>
    </i>
    <i>
      <x v="5"/>
    </i>
    <i>
      <x v="6"/>
    </i>
    <i t="grand">
      <x/>
    </i>
  </rowItems>
  <colFields count="1">
    <field x="0"/>
  </colFields>
  <colItems count="5">
    <i>
      <x/>
    </i>
    <i>
      <x v="1"/>
    </i>
    <i>
      <x v="2"/>
    </i>
    <i>
      <x v="3"/>
    </i>
    <i t="grand">
      <x/>
    </i>
  </colItems>
  <dataFields count="1">
    <dataField name="Sum of Current_x000a_Ratio" fld="6" baseField="0" baseItem="0" numFmtId="2"/>
  </dataFields>
  <chartFormats count="4">
    <chartFormat chart="4" format="8" series="1">
      <pivotArea type="data" outline="0" fieldPosition="0">
        <references count="2">
          <reference field="4294967294" count="1" selected="0">
            <x v="0"/>
          </reference>
          <reference field="0" count="1" selected="0">
            <x v="0"/>
          </reference>
        </references>
      </pivotArea>
    </chartFormat>
    <chartFormat chart="4" format="9" series="1">
      <pivotArea type="data" outline="0" fieldPosition="0">
        <references count="2">
          <reference field="4294967294" count="1" selected="0">
            <x v="0"/>
          </reference>
          <reference field="0" count="1" selected="0">
            <x v="1"/>
          </reference>
        </references>
      </pivotArea>
    </chartFormat>
    <chartFormat chart="4" format="10" series="1">
      <pivotArea type="data" outline="0" fieldPosition="0">
        <references count="2">
          <reference field="4294967294" count="1" selected="0">
            <x v="0"/>
          </reference>
          <reference field="0" count="1" selected="0">
            <x v="2"/>
          </reference>
        </references>
      </pivotArea>
    </chartFormat>
    <chartFormat chart="4" format="1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DA5771-127B-442F-8AA0-EBBB042D564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5:F24" firstHeaderRow="1" firstDataRow="2" firstDataCol="1"/>
  <pivotFields count="10">
    <pivotField axis="axisCol" showAll="0">
      <items count="5">
        <item x="2"/>
        <item x="3"/>
        <item x="0"/>
        <item x="1"/>
        <item t="default"/>
      </items>
    </pivotField>
    <pivotField axis="axisRow" numFmtId="1" showAll="0">
      <items count="8">
        <item x="0"/>
        <item x="1"/>
        <item x="2"/>
        <item x="3"/>
        <item x="4"/>
        <item x="5"/>
        <item x="6"/>
        <item t="default"/>
      </items>
    </pivotField>
    <pivotField numFmtId="3" showAll="0"/>
    <pivotField numFmtId="167" showAll="0"/>
    <pivotField dataField="1" numFmtId="167" showAll="0"/>
    <pivotField numFmtId="167" showAll="0"/>
    <pivotField numFmtId="2" showAll="0"/>
    <pivotField numFmtId="2" showAll="0"/>
    <pivotField showAll="0"/>
    <pivotField numFmtId="2" showAll="0"/>
  </pivotFields>
  <rowFields count="1">
    <field x="1"/>
  </rowFields>
  <rowItems count="8">
    <i>
      <x/>
    </i>
    <i>
      <x v="1"/>
    </i>
    <i>
      <x v="2"/>
    </i>
    <i>
      <x v="3"/>
    </i>
    <i>
      <x v="4"/>
    </i>
    <i>
      <x v="5"/>
    </i>
    <i>
      <x v="6"/>
    </i>
    <i t="grand">
      <x/>
    </i>
  </rowItems>
  <colFields count="1">
    <field x="0"/>
  </colFields>
  <colItems count="5">
    <i>
      <x/>
    </i>
    <i>
      <x v="1"/>
    </i>
    <i>
      <x v="2"/>
    </i>
    <i>
      <x v="3"/>
    </i>
    <i t="grand">
      <x/>
    </i>
  </colItems>
  <dataFields count="1">
    <dataField name="Sum of Return on_x000a_Equity %" fld="4" baseField="0" baseItem="0" numFmtId="167"/>
  </dataFields>
  <chartFormats count="12">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 chart="1" format="3" series="1">
      <pivotArea type="data" outline="0" fieldPosition="0">
        <references count="2">
          <reference field="4294967294" count="1" selected="0">
            <x v="0"/>
          </reference>
          <reference field="0" count="1" selected="0">
            <x v="3"/>
          </reference>
        </references>
      </pivotArea>
    </chartFormat>
    <chartFormat chart="4" format="8" series="1">
      <pivotArea type="data" outline="0" fieldPosition="0">
        <references count="2">
          <reference field="4294967294" count="1" selected="0">
            <x v="0"/>
          </reference>
          <reference field="0" count="1" selected="0">
            <x v="0"/>
          </reference>
        </references>
      </pivotArea>
    </chartFormat>
    <chartFormat chart="4" format="9" series="1">
      <pivotArea type="data" outline="0" fieldPosition="0">
        <references count="2">
          <reference field="4294967294" count="1" selected="0">
            <x v="0"/>
          </reference>
          <reference field="0" count="1" selected="0">
            <x v="1"/>
          </reference>
        </references>
      </pivotArea>
    </chartFormat>
    <chartFormat chart="4" format="10" series="1">
      <pivotArea type="data" outline="0" fieldPosition="0">
        <references count="2">
          <reference field="4294967294" count="1" selected="0">
            <x v="0"/>
          </reference>
          <reference field="0" count="1" selected="0">
            <x v="2"/>
          </reference>
        </references>
      </pivotArea>
    </chartFormat>
    <chartFormat chart="4" format="11" series="1">
      <pivotArea type="data" outline="0" fieldPosition="0">
        <references count="2">
          <reference field="4294967294" count="1" selected="0">
            <x v="0"/>
          </reference>
          <reference field="0" count="1" selected="0">
            <x v="3"/>
          </reference>
        </references>
      </pivotArea>
    </chartFormat>
    <chartFormat chart="7" format="12" series="1">
      <pivotArea type="data" outline="0" fieldPosition="0">
        <references count="2">
          <reference field="4294967294" count="1" selected="0">
            <x v="0"/>
          </reference>
          <reference field="0" count="1" selected="0">
            <x v="0"/>
          </reference>
        </references>
      </pivotArea>
    </chartFormat>
    <chartFormat chart="7" format="13" series="1">
      <pivotArea type="data" outline="0" fieldPosition="0">
        <references count="2">
          <reference field="4294967294" count="1" selected="0">
            <x v="0"/>
          </reference>
          <reference field="0" count="1" selected="0">
            <x v="1"/>
          </reference>
        </references>
      </pivotArea>
    </chartFormat>
    <chartFormat chart="7" format="14" series="1">
      <pivotArea type="data" outline="0" fieldPosition="0">
        <references count="2">
          <reference field="4294967294" count="1" selected="0">
            <x v="0"/>
          </reference>
          <reference field="0" count="1" selected="0">
            <x v="2"/>
          </reference>
        </references>
      </pivotArea>
    </chartFormat>
    <chartFormat chart="7" format="15"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Name" xr10:uid="{EF6F3710-6003-4561-808D-E4F56AD75FFC}" sourceName="Company Name">
  <pivotTables>
    <pivotTable tabId="21" name="PivotTable15"/>
  </pivotTables>
  <data>
    <tabular pivotCacheId="54219007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BB5AB0D-499E-409B-996E-AFA4C606C9CE}" sourceName="Year">
  <pivotTables>
    <pivotTable tabId="21" name="PivotTable15"/>
  </pivotTables>
  <data>
    <tabular pivotCacheId="542190079">
      <items count="7">
        <i x="0" s="1"/>
        <i x="1" s="1"/>
        <i x="2"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Name" xr10:uid="{C4120937-61B6-4E31-8D58-A33C95D6C279}" cache="Slicer_Company_Name" caption="Company Name" rowHeight="234950"/>
  <slicer name="Year" xr10:uid="{B3DD7F4C-6514-452B-B219-16AE4A0A604B}"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97BF99-A7F4-4EC3-AC67-89C1D1EBE677}" name="Table2" displayName="Table2" ref="A3:J4" totalsRowShown="0">
  <autoFilter ref="A3:J4" xr:uid="{F197BF99-A7F4-4EC3-AC67-89C1D1EBE677}"/>
  <tableColumns count="10">
    <tableColumn id="1" xr3:uid="{0D0466AC-F2EA-4484-8B14-ED7E48AB1A7C}" name="Company Name"/>
    <tableColumn id="2" xr3:uid="{11E8E79A-099E-4873-829C-1B91BB449914}" name="Year"/>
    <tableColumn id="3" xr3:uid="{3891EA7B-71E9-44AD-AD76-0ADE21B53804}" name="Revenue _x000a_(INR Cr.)"/>
    <tableColumn id="4" xr3:uid="{391A71ED-E0B0-46D8-AF16-CD8060844B1F}" name="EBITDA_x000a_Margin %"/>
    <tableColumn id="5" xr3:uid="{C1DB2924-810E-448C-BB0A-72135E26C710}" name="Return on_x000a_Equity %"/>
    <tableColumn id="6" xr3:uid="{6F92DE6D-F36C-4232-9603-ADE01069C6B4}" name="Return on_x000a_Capital %"/>
    <tableColumn id="7" xr3:uid="{1BA75E61-366F-45EB-B768-CCAE2B1E633D}" name="Current_x000a_Ratio"/>
    <tableColumn id="8" xr3:uid="{21A5A8E8-2E1E-45A0-A666-98FDA0A43A70}" name="Debt/Equity_x000a_Ratio"/>
    <tableColumn id="9" xr3:uid="{32C733A6-42A0-493B-A031-BA82E435A384}" name="Interest_x000a_Coverage"/>
    <tableColumn id="10" xr3:uid="{CBD0410B-9F54-4AF4-9701-AA7356431A15}" name="Asset_x000a_Turnov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ata.worldbank.org/indicator/NY.GDP.MKTP.KD.ZG" TargetMode="External"/><Relationship Id="rId2" Type="http://schemas.openxmlformats.org/officeDocument/2006/relationships/hyperlink" Target="https://in.investing.com/rates-bonds/india-10-year-bond-yield-historical-data?utm_source" TargetMode="External"/><Relationship Id="rId1" Type="http://schemas.openxmlformats.org/officeDocument/2006/relationships/hyperlink" Target="https://awsone.capitaline.com/index.html" TargetMode="External"/><Relationship Id="rId6" Type="http://schemas.openxmlformats.org/officeDocument/2006/relationships/hyperlink" Target="https://awsone.capitaline.com/index.html" TargetMode="External"/><Relationship Id="rId5" Type="http://schemas.openxmlformats.org/officeDocument/2006/relationships/hyperlink" Target="https://www.bseindia.com/" TargetMode="External"/><Relationship Id="rId4" Type="http://schemas.openxmlformats.org/officeDocument/2006/relationships/hyperlink" Target="https://www.bseindia.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69895-6208-40A0-B52C-DCD444710B1E}">
  <dimension ref="A1:E11"/>
  <sheetViews>
    <sheetView zoomScale="72" workbookViewId="0">
      <selection activeCell="D7" sqref="D7"/>
    </sheetView>
  </sheetViews>
  <sheetFormatPr defaultRowHeight="14.4" x14ac:dyDescent="0.3"/>
  <cols>
    <col min="1" max="1" width="10.77734375" customWidth="1"/>
    <col min="2" max="2" width="45" customWidth="1"/>
    <col min="3" max="3" width="32.77734375" customWidth="1"/>
    <col min="4" max="4" width="37.21875" customWidth="1"/>
    <col min="5" max="5" width="51.21875" customWidth="1"/>
  </cols>
  <sheetData>
    <row r="1" spans="1:5" ht="15.6" x14ac:dyDescent="0.3">
      <c r="A1" s="46" t="s">
        <v>228</v>
      </c>
      <c r="B1" s="47" t="s">
        <v>229</v>
      </c>
      <c r="C1" s="47" t="s">
        <v>230</v>
      </c>
      <c r="D1" s="47" t="s">
        <v>231</v>
      </c>
      <c r="E1" s="48" t="s">
        <v>232</v>
      </c>
    </row>
    <row r="2" spans="1:5" ht="46.8" x14ac:dyDescent="0.3">
      <c r="A2" s="49">
        <v>1</v>
      </c>
      <c r="B2" s="50" t="s">
        <v>233</v>
      </c>
      <c r="C2" s="50"/>
      <c r="D2" s="51" t="s">
        <v>234</v>
      </c>
      <c r="E2" s="52" t="s">
        <v>235</v>
      </c>
    </row>
    <row r="3" spans="1:5" ht="15.6" x14ac:dyDescent="0.3">
      <c r="A3" s="49">
        <v>2</v>
      </c>
      <c r="B3" s="50" t="s">
        <v>189</v>
      </c>
      <c r="C3" s="53">
        <v>0.13980000000000001</v>
      </c>
      <c r="D3" s="51"/>
      <c r="E3" s="54"/>
    </row>
    <row r="4" spans="1:5" ht="15.6" x14ac:dyDescent="0.3">
      <c r="A4" s="49">
        <v>3</v>
      </c>
      <c r="B4" s="50" t="s">
        <v>219</v>
      </c>
      <c r="C4" s="55">
        <v>0.25</v>
      </c>
      <c r="D4" s="51" t="s">
        <v>253</v>
      </c>
      <c r="E4" s="54"/>
    </row>
    <row r="5" spans="1:5" ht="31.2" x14ac:dyDescent="0.3">
      <c r="A5" s="49">
        <v>4</v>
      </c>
      <c r="B5" s="50" t="s">
        <v>236</v>
      </c>
      <c r="C5" s="56">
        <v>6.6699999999999995E-2</v>
      </c>
      <c r="D5" s="51" t="s">
        <v>237</v>
      </c>
      <c r="E5" s="52" t="s">
        <v>238</v>
      </c>
    </row>
    <row r="6" spans="1:5" ht="46.8" x14ac:dyDescent="0.3">
      <c r="A6" s="49">
        <v>5</v>
      </c>
      <c r="B6" s="50" t="s">
        <v>239</v>
      </c>
      <c r="C6" s="57">
        <v>0.12763129702776799</v>
      </c>
      <c r="D6" s="51" t="s">
        <v>240</v>
      </c>
      <c r="E6" s="54"/>
    </row>
    <row r="7" spans="1:5" ht="46.8" x14ac:dyDescent="0.3">
      <c r="A7" s="49"/>
      <c r="B7" s="50" t="s">
        <v>241</v>
      </c>
      <c r="C7" s="57">
        <f>C6-C5</f>
        <v>6.0931297027767992E-2</v>
      </c>
      <c r="D7" s="51" t="s">
        <v>242</v>
      </c>
      <c r="E7" s="54"/>
    </row>
    <row r="8" spans="1:5" ht="46.8" x14ac:dyDescent="0.3">
      <c r="A8" s="49">
        <v>6</v>
      </c>
      <c r="B8" s="50" t="s">
        <v>243</v>
      </c>
      <c r="C8" s="53">
        <v>0.05</v>
      </c>
      <c r="D8" s="51" t="s">
        <v>244</v>
      </c>
      <c r="E8" s="52" t="s">
        <v>245</v>
      </c>
    </row>
    <row r="9" spans="1:5" ht="31.2" x14ac:dyDescent="0.3">
      <c r="A9" s="49">
        <v>7</v>
      </c>
      <c r="B9" s="50" t="s">
        <v>480</v>
      </c>
      <c r="C9" s="53"/>
      <c r="D9" s="58" t="s">
        <v>246</v>
      </c>
      <c r="E9" s="52" t="s">
        <v>247</v>
      </c>
    </row>
    <row r="10" spans="1:5" ht="15.6" x14ac:dyDescent="0.3">
      <c r="A10" s="49">
        <v>8</v>
      </c>
      <c r="B10" s="50" t="s">
        <v>248</v>
      </c>
      <c r="C10" s="50"/>
      <c r="D10" s="50" t="s">
        <v>249</v>
      </c>
      <c r="E10" s="52" t="s">
        <v>247</v>
      </c>
    </row>
    <row r="11" spans="1:5" ht="16.2" thickBot="1" x14ac:dyDescent="0.35">
      <c r="A11" s="59">
        <v>9</v>
      </c>
      <c r="B11" s="60" t="s">
        <v>250</v>
      </c>
      <c r="C11" s="61">
        <v>420</v>
      </c>
      <c r="D11" s="60" t="s">
        <v>251</v>
      </c>
      <c r="E11" s="62" t="s">
        <v>252</v>
      </c>
    </row>
  </sheetData>
  <hyperlinks>
    <hyperlink ref="E2" r:id="rId1" location="/Company/Condensed/condensed?section=ProfitLoss" xr:uid="{EBA4E974-609A-4D3C-B6C3-8E7A266A9A03}"/>
    <hyperlink ref="E5" r:id="rId2" xr:uid="{B752F240-724F-4D44-A32E-293D259C4037}"/>
    <hyperlink ref="E8" r:id="rId3" xr:uid="{B39C0892-0DB1-45ED-AC9D-1C2D384C249D}"/>
    <hyperlink ref="E9" r:id="rId4" xr:uid="{5618EA2F-9C8D-4CBA-B3E5-1C56E69ACF15}"/>
    <hyperlink ref="E10" r:id="rId5" xr:uid="{59C7BA8C-3298-4DB5-AEDF-03FEA044BA46}"/>
    <hyperlink ref="E11" r:id="rId6" location="/Company/General/CompanyInfo" xr:uid="{BA578D0B-A2D3-4EE7-9898-F91691FCF99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A66A6-7774-4201-8B35-A621CB8DE10E}">
  <dimension ref="A1:F28"/>
  <sheetViews>
    <sheetView topLeftCell="A2" workbookViewId="0">
      <selection activeCell="B7" sqref="B7"/>
    </sheetView>
  </sheetViews>
  <sheetFormatPr defaultRowHeight="14.4" x14ac:dyDescent="0.3"/>
  <cols>
    <col min="1" max="1" width="36.33203125" customWidth="1"/>
    <col min="2" max="2" width="33.5546875" customWidth="1"/>
    <col min="3" max="3" width="10.5546875" customWidth="1"/>
    <col min="4" max="4" width="30.21875" customWidth="1"/>
    <col min="5" max="5" width="32.44140625" customWidth="1"/>
    <col min="6" max="6" width="64.5546875" customWidth="1"/>
  </cols>
  <sheetData>
    <row r="1" spans="1:6" ht="18" x14ac:dyDescent="0.3">
      <c r="A1" s="244" t="s">
        <v>387</v>
      </c>
      <c r="B1" s="244"/>
      <c r="C1" s="244"/>
      <c r="D1" s="244"/>
      <c r="E1" s="244"/>
      <c r="F1" s="244"/>
    </row>
    <row r="2" spans="1:6" ht="15" thickBot="1" x14ac:dyDescent="0.35"/>
    <row r="3" spans="1:6" ht="15" thickBot="1" x14ac:dyDescent="0.35">
      <c r="A3" s="245" t="s">
        <v>388</v>
      </c>
      <c r="B3" s="245"/>
      <c r="D3" s="245" t="s">
        <v>389</v>
      </c>
      <c r="E3" s="245"/>
      <c r="F3" s="245"/>
    </row>
    <row r="4" spans="1:6" x14ac:dyDescent="0.3">
      <c r="A4" s="148" t="s">
        <v>188</v>
      </c>
      <c r="B4" s="149" t="s">
        <v>390</v>
      </c>
      <c r="D4" s="150" t="s">
        <v>391</v>
      </c>
      <c r="E4" s="150" t="s">
        <v>392</v>
      </c>
      <c r="F4" s="150" t="s">
        <v>393</v>
      </c>
    </row>
    <row r="5" spans="1:6" ht="24" x14ac:dyDescent="0.3">
      <c r="A5" s="148" t="s">
        <v>394</v>
      </c>
      <c r="B5" s="149" t="s">
        <v>395</v>
      </c>
      <c r="D5" s="151" t="s">
        <v>396</v>
      </c>
      <c r="E5" s="152" t="s">
        <v>397</v>
      </c>
      <c r="F5" s="153" t="s">
        <v>398</v>
      </c>
    </row>
    <row r="6" spans="1:6" ht="24" x14ac:dyDescent="0.3">
      <c r="A6" s="148" t="s">
        <v>399</v>
      </c>
      <c r="B6" s="149" t="s">
        <v>400</v>
      </c>
      <c r="D6" s="151" t="s">
        <v>401</v>
      </c>
      <c r="E6" s="152" t="s">
        <v>402</v>
      </c>
      <c r="F6" s="153" t="s">
        <v>403</v>
      </c>
    </row>
    <row r="7" spans="1:6" ht="24" x14ac:dyDescent="0.3">
      <c r="A7" s="148" t="s">
        <v>404</v>
      </c>
      <c r="B7" s="149" t="s">
        <v>405</v>
      </c>
      <c r="D7" s="151" t="s">
        <v>406</v>
      </c>
      <c r="E7" s="152" t="s">
        <v>407</v>
      </c>
      <c r="F7" s="153" t="s">
        <v>408</v>
      </c>
    </row>
    <row r="8" spans="1:6" ht="24" x14ac:dyDescent="0.3">
      <c r="A8" s="148" t="s">
        <v>409</v>
      </c>
      <c r="B8" s="149">
        <v>1995</v>
      </c>
      <c r="D8" s="151" t="s">
        <v>410</v>
      </c>
      <c r="E8" s="152" t="s">
        <v>411</v>
      </c>
      <c r="F8" s="153" t="s">
        <v>412</v>
      </c>
    </row>
    <row r="9" spans="1:6" ht="24" x14ac:dyDescent="0.3">
      <c r="A9" s="148" t="s">
        <v>413</v>
      </c>
      <c r="B9" s="149" t="s">
        <v>414</v>
      </c>
      <c r="D9" s="151" t="s">
        <v>415</v>
      </c>
      <c r="E9" s="152" t="s">
        <v>416</v>
      </c>
      <c r="F9" s="153" t="s">
        <v>417</v>
      </c>
    </row>
    <row r="10" spans="1:6" ht="24" x14ac:dyDescent="0.3">
      <c r="A10" s="148" t="s">
        <v>418</v>
      </c>
      <c r="B10" s="149" t="s">
        <v>419</v>
      </c>
      <c r="D10" s="151" t="s">
        <v>420</v>
      </c>
      <c r="E10" s="152" t="s">
        <v>421</v>
      </c>
      <c r="F10" s="153" t="s">
        <v>422</v>
      </c>
    </row>
    <row r="11" spans="1:6" x14ac:dyDescent="0.3">
      <c r="A11" s="148" t="s">
        <v>423</v>
      </c>
      <c r="B11" s="149" t="s">
        <v>424</v>
      </c>
    </row>
    <row r="12" spans="1:6" ht="15" thickBot="1" x14ac:dyDescent="0.35">
      <c r="A12" s="148" t="s">
        <v>425</v>
      </c>
      <c r="B12" s="149" t="s">
        <v>426</v>
      </c>
    </row>
    <row r="13" spans="1:6" ht="55.8" thickBot="1" x14ac:dyDescent="0.35">
      <c r="A13" s="148" t="s">
        <v>427</v>
      </c>
      <c r="B13" s="149" t="s">
        <v>428</v>
      </c>
      <c r="D13" s="245" t="s">
        <v>429</v>
      </c>
      <c r="E13" s="245"/>
      <c r="F13" s="245"/>
    </row>
    <row r="14" spans="1:6" ht="41.4" x14ac:dyDescent="0.3">
      <c r="A14" s="148" t="s">
        <v>430</v>
      </c>
      <c r="B14" s="149" t="s">
        <v>431</v>
      </c>
      <c r="D14" s="150" t="s">
        <v>432</v>
      </c>
      <c r="E14" s="150" t="s">
        <v>433</v>
      </c>
      <c r="F14" s="150" t="s">
        <v>434</v>
      </c>
    </row>
    <row r="15" spans="1:6" ht="48.6" thickBot="1" x14ac:dyDescent="0.35">
      <c r="D15" s="154" t="s">
        <v>435</v>
      </c>
      <c r="E15" s="155" t="s">
        <v>436</v>
      </c>
      <c r="F15" s="155" t="s">
        <v>437</v>
      </c>
    </row>
    <row r="16" spans="1:6" ht="48.6" customHeight="1" x14ac:dyDescent="0.3">
      <c r="A16" s="246" t="s">
        <v>441</v>
      </c>
      <c r="B16" s="246"/>
      <c r="D16" s="156" t="s">
        <v>438</v>
      </c>
      <c r="E16" s="157" t="s">
        <v>439</v>
      </c>
      <c r="F16" s="157" t="s">
        <v>440</v>
      </c>
    </row>
    <row r="17" spans="1:6" ht="48" x14ac:dyDescent="0.3">
      <c r="A17" s="247"/>
      <c r="B17" s="247"/>
      <c r="D17" s="154" t="s">
        <v>442</v>
      </c>
      <c r="E17" s="155" t="s">
        <v>443</v>
      </c>
      <c r="F17" s="155" t="s">
        <v>444</v>
      </c>
    </row>
    <row r="18" spans="1:6" ht="48.6" thickBot="1" x14ac:dyDescent="0.35">
      <c r="D18" s="156" t="s">
        <v>445</v>
      </c>
      <c r="E18" s="157" t="s">
        <v>446</v>
      </c>
      <c r="F18" s="157" t="s">
        <v>447</v>
      </c>
    </row>
    <row r="19" spans="1:6" ht="48.6" thickBot="1" x14ac:dyDescent="0.35">
      <c r="A19" s="241" t="s">
        <v>451</v>
      </c>
      <c r="B19" s="241"/>
      <c r="D19" s="154" t="s">
        <v>448</v>
      </c>
      <c r="E19" s="155" t="s">
        <v>449</v>
      </c>
      <c r="F19" s="155" t="s">
        <v>450</v>
      </c>
    </row>
    <row r="20" spans="1:6" ht="48" x14ac:dyDescent="0.3">
      <c r="A20" s="194" t="s">
        <v>455</v>
      </c>
      <c r="B20" s="195" t="s">
        <v>456</v>
      </c>
      <c r="D20" s="156" t="s">
        <v>452</v>
      </c>
      <c r="E20" s="157" t="s">
        <v>453</v>
      </c>
      <c r="F20" s="157" t="s">
        <v>454</v>
      </c>
    </row>
    <row r="21" spans="1:6" ht="48" x14ac:dyDescent="0.3">
      <c r="A21" s="194" t="s">
        <v>460</v>
      </c>
      <c r="B21" s="195" t="s">
        <v>461</v>
      </c>
      <c r="D21" s="154" t="s">
        <v>457</v>
      </c>
      <c r="E21" s="155" t="s">
        <v>458</v>
      </c>
      <c r="F21" s="155" t="s">
        <v>459</v>
      </c>
    </row>
    <row r="22" spans="1:6" ht="48" x14ac:dyDescent="0.3">
      <c r="A22" s="194" t="s">
        <v>190</v>
      </c>
      <c r="B22" s="195" t="s">
        <v>465</v>
      </c>
      <c r="D22" s="156" t="s">
        <v>462</v>
      </c>
      <c r="E22" s="157" t="s">
        <v>463</v>
      </c>
      <c r="F22" s="157" t="s">
        <v>464</v>
      </c>
    </row>
    <row r="23" spans="1:6" x14ac:dyDescent="0.3">
      <c r="A23" s="194" t="s">
        <v>466</v>
      </c>
      <c r="B23" s="195" t="s">
        <v>467</v>
      </c>
    </row>
    <row r="24" spans="1:6" ht="15" thickBot="1" x14ac:dyDescent="0.35">
      <c r="A24" s="194" t="s">
        <v>468</v>
      </c>
      <c r="B24" s="195" t="s">
        <v>469</v>
      </c>
    </row>
    <row r="25" spans="1:6" ht="15" thickBot="1" x14ac:dyDescent="0.35">
      <c r="A25" s="194" t="s">
        <v>471</v>
      </c>
      <c r="B25" s="195" t="s">
        <v>472</v>
      </c>
      <c r="D25" s="242" t="s">
        <v>470</v>
      </c>
      <c r="E25" s="242"/>
      <c r="F25" s="242"/>
    </row>
    <row r="26" spans="1:6" ht="15" thickBot="1" x14ac:dyDescent="0.35">
      <c r="A26" s="194" t="s">
        <v>474</v>
      </c>
      <c r="B26" s="195" t="s">
        <v>475</v>
      </c>
      <c r="D26" s="243" t="s">
        <v>473</v>
      </c>
      <c r="E26" s="243"/>
      <c r="F26" s="243"/>
    </row>
    <row r="27" spans="1:6" ht="15" thickBot="1" x14ac:dyDescent="0.35">
      <c r="A27" s="194" t="s">
        <v>476</v>
      </c>
      <c r="B27" s="195" t="s">
        <v>477</v>
      </c>
      <c r="D27" s="243"/>
      <c r="E27" s="243"/>
      <c r="F27" s="243"/>
    </row>
    <row r="28" spans="1:6" ht="15" thickBot="1" x14ac:dyDescent="0.35">
      <c r="A28" s="194" t="s">
        <v>478</v>
      </c>
      <c r="B28" s="195" t="s">
        <v>479</v>
      </c>
      <c r="D28" s="243"/>
      <c r="E28" s="243"/>
      <c r="F28" s="243"/>
    </row>
  </sheetData>
  <mergeCells count="8">
    <mergeCell ref="A19:B19"/>
    <mergeCell ref="D25:F25"/>
    <mergeCell ref="D26:F28"/>
    <mergeCell ref="A1:F1"/>
    <mergeCell ref="A3:B3"/>
    <mergeCell ref="D3:F3"/>
    <mergeCell ref="D13:F13"/>
    <mergeCell ref="A16:B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13"/>
  <sheetViews>
    <sheetView zoomScaleNormal="100" workbookViewId="0">
      <pane xSplit="2" ySplit="4" topLeftCell="C5" activePane="bottomRight" state="frozen"/>
      <selection pane="topRight" activeCell="C1" sqref="C1"/>
      <selection pane="bottomLeft" activeCell="A5" sqref="A5"/>
      <selection pane="bottomRight" activeCell="C105" sqref="C105:I113"/>
    </sheetView>
  </sheetViews>
  <sheetFormatPr defaultColWidth="8.6640625" defaultRowHeight="14.4" x14ac:dyDescent="0.3"/>
  <cols>
    <col min="1" max="1" width="2" customWidth="1"/>
    <col min="2" max="2" width="42" customWidth="1"/>
    <col min="3" max="8" width="13" customWidth="1"/>
  </cols>
  <sheetData>
    <row r="1" spans="2:9" ht="27.75" customHeight="1" x14ac:dyDescent="0.3">
      <c r="B1" s="251" t="s">
        <v>0</v>
      </c>
      <c r="C1" s="251"/>
      <c r="D1" s="251"/>
      <c r="E1" s="251"/>
      <c r="F1" s="251"/>
      <c r="G1" s="251"/>
      <c r="H1" s="251"/>
    </row>
    <row r="2" spans="2:9" x14ac:dyDescent="0.3">
      <c r="B2" s="252" t="s">
        <v>1</v>
      </c>
      <c r="C2" s="252"/>
      <c r="D2" s="252"/>
      <c r="E2" s="252"/>
      <c r="F2" s="252"/>
      <c r="G2" s="252"/>
      <c r="H2" s="252"/>
    </row>
    <row r="3" spans="2:9" x14ac:dyDescent="0.3">
      <c r="C3" s="250" t="s">
        <v>2</v>
      </c>
      <c r="D3" s="250"/>
      <c r="E3" s="250"/>
      <c r="F3" s="250"/>
      <c r="G3" s="250"/>
      <c r="H3" s="250"/>
    </row>
    <row r="4" spans="2:9" ht="15.75" customHeight="1" x14ac:dyDescent="0.3">
      <c r="C4" s="3" t="s">
        <v>3</v>
      </c>
      <c r="D4" s="3" t="s">
        <v>4</v>
      </c>
      <c r="E4" s="3" t="s">
        <v>5</v>
      </c>
      <c r="F4" s="3" t="s">
        <v>6</v>
      </c>
      <c r="G4" s="3" t="s">
        <v>7</v>
      </c>
      <c r="H4" s="3" t="s">
        <v>8</v>
      </c>
    </row>
    <row r="5" spans="2:9" ht="18" customHeight="1" x14ac:dyDescent="0.3">
      <c r="B5" s="248" t="s">
        <v>9</v>
      </c>
      <c r="C5" s="248"/>
      <c r="D5" s="248"/>
      <c r="E5" s="248"/>
      <c r="F5" s="248"/>
      <c r="G5" s="248"/>
      <c r="H5" s="248"/>
    </row>
    <row r="6" spans="2:9" x14ac:dyDescent="0.3">
      <c r="B6" s="4" t="s">
        <v>10</v>
      </c>
    </row>
    <row r="7" spans="2:9" ht="18" customHeight="1" x14ac:dyDescent="0.3">
      <c r="B7" s="248" t="s">
        <v>11</v>
      </c>
      <c r="C7" s="248"/>
      <c r="D7" s="248"/>
      <c r="E7" s="248"/>
      <c r="F7" s="248"/>
      <c r="G7" s="248"/>
      <c r="H7" s="248"/>
    </row>
    <row r="8" spans="2:9" x14ac:dyDescent="0.3">
      <c r="B8" s="5" t="s">
        <v>12</v>
      </c>
      <c r="C8" s="192">
        <v>4876.45</v>
      </c>
      <c r="D8" s="192">
        <v>6595.74</v>
      </c>
      <c r="E8" s="192">
        <v>10595.83</v>
      </c>
      <c r="F8" s="192">
        <v>12632.83</v>
      </c>
      <c r="G8" s="192">
        <v>14348.6</v>
      </c>
      <c r="H8" s="192">
        <v>14556.82</v>
      </c>
      <c r="I8" s="77"/>
    </row>
    <row r="9" spans="2:9" x14ac:dyDescent="0.3">
      <c r="B9" s="5" t="s">
        <v>13</v>
      </c>
      <c r="C9" s="192">
        <v>0</v>
      </c>
      <c r="D9" s="192">
        <v>0</v>
      </c>
      <c r="E9" s="192">
        <v>0</v>
      </c>
      <c r="F9" s="192">
        <v>0</v>
      </c>
      <c r="G9" s="192">
        <v>0</v>
      </c>
      <c r="H9" s="192">
        <v>0</v>
      </c>
      <c r="I9" s="77"/>
    </row>
    <row r="10" spans="2:9" x14ac:dyDescent="0.3">
      <c r="B10" s="6" t="s">
        <v>14</v>
      </c>
      <c r="C10" s="193">
        <v>4876.45</v>
      </c>
      <c r="D10" s="193">
        <v>6595.74</v>
      </c>
      <c r="E10" s="193">
        <v>10595.83</v>
      </c>
      <c r="F10" s="193">
        <v>12632.83</v>
      </c>
      <c r="G10" s="193">
        <v>14348.6</v>
      </c>
      <c r="H10" s="193">
        <v>14556.82</v>
      </c>
      <c r="I10" s="77"/>
    </row>
    <row r="11" spans="2:9" x14ac:dyDescent="0.3">
      <c r="B11" s="5" t="s">
        <v>15</v>
      </c>
      <c r="C11" s="192">
        <v>71.989999999999995</v>
      </c>
      <c r="D11" s="192">
        <v>57.3</v>
      </c>
      <c r="E11" s="192">
        <v>143.76</v>
      </c>
      <c r="F11" s="192">
        <v>146.13999999999999</v>
      </c>
      <c r="G11" s="192">
        <v>353.94</v>
      </c>
      <c r="H11" s="192">
        <v>513.92999999999995</v>
      </c>
      <c r="I11" s="77"/>
    </row>
    <row r="12" spans="2:9" x14ac:dyDescent="0.3">
      <c r="B12" s="5" t="s">
        <v>16</v>
      </c>
      <c r="C12" s="192">
        <v>3.14</v>
      </c>
      <c r="D12" s="192">
        <v>76.069999999999993</v>
      </c>
      <c r="E12" s="192">
        <v>302.35000000000002</v>
      </c>
      <c r="F12" s="192">
        <v>61.82</v>
      </c>
      <c r="G12" s="192">
        <v>-38.840000000000003</v>
      </c>
      <c r="H12" s="192">
        <v>-12.97</v>
      </c>
      <c r="I12" s="77"/>
    </row>
    <row r="13" spans="2:9" x14ac:dyDescent="0.3">
      <c r="B13" s="4" t="s">
        <v>17</v>
      </c>
      <c r="C13" s="193">
        <v>4951.58</v>
      </c>
      <c r="D13" s="193">
        <v>6729.11</v>
      </c>
      <c r="E13" s="193">
        <v>11041.94</v>
      </c>
      <c r="F13" s="193">
        <v>12840.79</v>
      </c>
      <c r="G13" s="193">
        <v>14663.7</v>
      </c>
      <c r="H13" s="193">
        <v>15057.78</v>
      </c>
      <c r="I13" s="77"/>
    </row>
    <row r="14" spans="2:9" ht="18" customHeight="1" x14ac:dyDescent="0.3">
      <c r="B14" s="248" t="s">
        <v>18</v>
      </c>
      <c r="C14" s="248"/>
      <c r="D14" s="248"/>
      <c r="E14" s="248"/>
      <c r="F14" s="248"/>
      <c r="G14" s="248"/>
      <c r="H14" s="248"/>
    </row>
    <row r="15" spans="2:9" x14ac:dyDescent="0.3">
      <c r="B15" s="196" t="s">
        <v>19</v>
      </c>
      <c r="C15" s="192">
        <v>2218.81</v>
      </c>
      <c r="D15" s="192">
        <v>3205.24</v>
      </c>
      <c r="E15" s="192">
        <v>5579.49</v>
      </c>
      <c r="F15" s="192">
        <v>6052.21</v>
      </c>
      <c r="G15" s="192">
        <v>6565.14</v>
      </c>
      <c r="H15" s="192">
        <v>6742.35</v>
      </c>
    </row>
    <row r="16" spans="2:9" x14ac:dyDescent="0.3">
      <c r="B16" s="197" t="s">
        <v>20</v>
      </c>
      <c r="C16" s="192">
        <v>265.17</v>
      </c>
      <c r="D16" s="192">
        <v>252.54</v>
      </c>
      <c r="E16" s="192">
        <v>558.19000000000005</v>
      </c>
      <c r="F16" s="192">
        <v>579.98</v>
      </c>
      <c r="G16" s="192">
        <v>590.58000000000004</v>
      </c>
      <c r="H16" s="192">
        <v>746.94</v>
      </c>
    </row>
    <row r="17" spans="2:8" x14ac:dyDescent="0.3">
      <c r="B17" s="197" t="s">
        <v>21</v>
      </c>
      <c r="C17" s="192">
        <v>2277.92</v>
      </c>
      <c r="D17" s="192">
        <v>3695.64</v>
      </c>
      <c r="E17" s="192">
        <v>6115.66</v>
      </c>
      <c r="F17" s="192">
        <v>6104.51</v>
      </c>
      <c r="G17" s="192">
        <v>6620.24</v>
      </c>
      <c r="H17" s="192">
        <v>6562.24</v>
      </c>
    </row>
    <row r="18" spans="2:8" x14ac:dyDescent="0.3">
      <c r="B18" s="197" t="s">
        <v>22</v>
      </c>
      <c r="C18" s="192">
        <v>87.48</v>
      </c>
      <c r="D18" s="192">
        <v>119.43</v>
      </c>
      <c r="E18" s="192">
        <v>120.18</v>
      </c>
      <c r="F18" s="192">
        <v>149.43</v>
      </c>
      <c r="G18" s="192">
        <v>202.91</v>
      </c>
      <c r="H18" s="192">
        <v>140.44999999999999</v>
      </c>
    </row>
    <row r="19" spans="2:8" x14ac:dyDescent="0.3">
      <c r="B19" s="197" t="s">
        <v>23</v>
      </c>
      <c r="C19" s="192">
        <v>-159.22</v>
      </c>
      <c r="D19" s="192">
        <v>-304.18</v>
      </c>
      <c r="E19" s="192">
        <v>-634.57000000000005</v>
      </c>
      <c r="F19" s="192">
        <v>-191.13</v>
      </c>
      <c r="G19" s="192">
        <v>-101.65</v>
      </c>
      <c r="H19" s="192">
        <v>-25.07</v>
      </c>
    </row>
    <row r="20" spans="2:8" x14ac:dyDescent="0.3">
      <c r="B20" s="197" t="s">
        <v>24</v>
      </c>
      <c r="C20" s="192">
        <v>252.54</v>
      </c>
      <c r="D20" s="192">
        <v>558.19000000000005</v>
      </c>
      <c r="E20" s="192">
        <v>579.98</v>
      </c>
      <c r="F20" s="192">
        <v>590.58000000000004</v>
      </c>
      <c r="G20" s="192">
        <v>746.94</v>
      </c>
      <c r="H20" s="192">
        <v>682.21</v>
      </c>
    </row>
    <row r="21" spans="2:8" x14ac:dyDescent="0.3">
      <c r="B21" s="197" t="s">
        <v>25</v>
      </c>
      <c r="C21" s="192">
        <v>0</v>
      </c>
      <c r="D21" s="192">
        <v>0</v>
      </c>
      <c r="E21" s="192">
        <v>0</v>
      </c>
      <c r="F21" s="192">
        <v>0</v>
      </c>
      <c r="G21" s="192">
        <v>0</v>
      </c>
      <c r="H21" s="192">
        <v>0</v>
      </c>
    </row>
    <row r="22" spans="2:8" x14ac:dyDescent="0.3">
      <c r="B22" s="196" t="s">
        <v>26</v>
      </c>
      <c r="C22" s="192">
        <v>203.07</v>
      </c>
      <c r="D22" s="192">
        <v>258.39</v>
      </c>
      <c r="E22" s="192">
        <v>388.97</v>
      </c>
      <c r="F22" s="192">
        <v>436.94</v>
      </c>
      <c r="G22" s="192">
        <v>475.66</v>
      </c>
      <c r="H22" s="192">
        <v>474.54</v>
      </c>
    </row>
    <row r="23" spans="2:8" x14ac:dyDescent="0.3">
      <c r="B23" s="196" t="s">
        <v>27</v>
      </c>
      <c r="C23" s="192">
        <v>695.06</v>
      </c>
      <c r="D23" s="192">
        <v>741.12</v>
      </c>
      <c r="E23" s="192">
        <v>920.47</v>
      </c>
      <c r="F23" s="192">
        <v>1036.8</v>
      </c>
      <c r="G23" s="192">
        <v>1177.55</v>
      </c>
      <c r="H23" s="192">
        <v>1260.22</v>
      </c>
    </row>
    <row r="24" spans="2:8" x14ac:dyDescent="0.3">
      <c r="B24" s="197" t="s">
        <v>28</v>
      </c>
      <c r="C24" s="192">
        <v>639.95000000000005</v>
      </c>
      <c r="D24" s="192">
        <v>678.45</v>
      </c>
      <c r="E24" s="192">
        <v>842.37</v>
      </c>
      <c r="F24" s="192">
        <v>942.3</v>
      </c>
      <c r="G24" s="192">
        <v>1058.03</v>
      </c>
      <c r="H24" s="192">
        <v>1147.22</v>
      </c>
    </row>
    <row r="25" spans="2:8" x14ac:dyDescent="0.3">
      <c r="B25" s="197" t="s">
        <v>29</v>
      </c>
      <c r="C25" s="192">
        <v>33.67</v>
      </c>
      <c r="D25" s="192">
        <v>35.49</v>
      </c>
      <c r="E25" s="192">
        <v>39.799999999999997</v>
      </c>
      <c r="F25" s="192">
        <v>49.85</v>
      </c>
      <c r="G25" s="192">
        <v>59.2</v>
      </c>
      <c r="H25" s="192">
        <v>64.430000000000007</v>
      </c>
    </row>
    <row r="26" spans="2:8" x14ac:dyDescent="0.3">
      <c r="B26" s="197" t="s">
        <v>30</v>
      </c>
      <c r="C26" s="192">
        <v>21.45</v>
      </c>
      <c r="D26" s="192">
        <v>27.18</v>
      </c>
      <c r="E26" s="192">
        <v>35.39</v>
      </c>
      <c r="F26" s="192">
        <v>38.32</v>
      </c>
      <c r="G26" s="192">
        <v>46.3</v>
      </c>
      <c r="H26" s="192">
        <v>46.26</v>
      </c>
    </row>
    <row r="27" spans="2:8" x14ac:dyDescent="0.3">
      <c r="B27" s="197" t="s">
        <v>31</v>
      </c>
      <c r="C27" s="192">
        <v>0</v>
      </c>
      <c r="D27" s="192">
        <v>0</v>
      </c>
      <c r="E27" s="192">
        <v>0</v>
      </c>
      <c r="F27" s="192">
        <v>0</v>
      </c>
      <c r="G27" s="192">
        <v>0</v>
      </c>
      <c r="H27" s="192">
        <v>0</v>
      </c>
    </row>
    <row r="28" spans="2:8" x14ac:dyDescent="0.3">
      <c r="B28" s="197" t="s">
        <v>32</v>
      </c>
      <c r="C28" s="192">
        <v>0</v>
      </c>
      <c r="D28" s="192">
        <v>0</v>
      </c>
      <c r="E28" s="192">
        <v>0</v>
      </c>
      <c r="F28" s="192">
        <v>0</v>
      </c>
      <c r="G28" s="192">
        <v>0</v>
      </c>
      <c r="H28" s="192">
        <v>0</v>
      </c>
    </row>
    <row r="29" spans="2:8" x14ac:dyDescent="0.3">
      <c r="B29" s="197" t="s">
        <v>33</v>
      </c>
      <c r="C29" s="192">
        <v>0</v>
      </c>
      <c r="D29" s="192">
        <v>0</v>
      </c>
      <c r="E29" s="192">
        <v>2.91</v>
      </c>
      <c r="F29" s="192">
        <v>6.34</v>
      </c>
      <c r="G29" s="192">
        <v>14.03</v>
      </c>
      <c r="H29" s="192">
        <v>2.31</v>
      </c>
    </row>
    <row r="30" spans="2:8" x14ac:dyDescent="0.3">
      <c r="B30" s="196" t="s">
        <v>34</v>
      </c>
      <c r="C30" s="192">
        <v>185.89</v>
      </c>
      <c r="D30" s="192">
        <v>252.4</v>
      </c>
      <c r="E30" s="192">
        <v>388.08</v>
      </c>
      <c r="F30" s="192">
        <v>413.25</v>
      </c>
      <c r="G30" s="192">
        <v>491.54</v>
      </c>
      <c r="H30" s="192">
        <v>450.98</v>
      </c>
    </row>
    <row r="31" spans="2:8" x14ac:dyDescent="0.3">
      <c r="B31" s="196" t="s">
        <v>35</v>
      </c>
      <c r="C31" s="192">
        <v>687.16</v>
      </c>
      <c r="D31" s="192">
        <v>979.34</v>
      </c>
      <c r="E31" s="192">
        <v>1352</v>
      </c>
      <c r="F31" s="192">
        <v>1636.72</v>
      </c>
      <c r="G31" s="192">
        <v>1758.49</v>
      </c>
      <c r="H31" s="192">
        <v>1747.07</v>
      </c>
    </row>
    <row r="32" spans="2:8" x14ac:dyDescent="0.3">
      <c r="B32" s="196" t="s">
        <v>36</v>
      </c>
      <c r="C32" s="192">
        <v>96.14</v>
      </c>
      <c r="D32" s="192">
        <v>54.92</v>
      </c>
      <c r="E32" s="192">
        <v>89.17</v>
      </c>
      <c r="F32" s="192">
        <v>133.91999999999999</v>
      </c>
      <c r="G32" s="192">
        <v>153.88</v>
      </c>
      <c r="H32" s="192">
        <v>103.75</v>
      </c>
    </row>
    <row r="33" spans="2:8" x14ac:dyDescent="0.3">
      <c r="B33" s="196" t="s">
        <v>37</v>
      </c>
      <c r="C33" s="192">
        <v>0</v>
      </c>
      <c r="D33" s="192">
        <v>0</v>
      </c>
      <c r="E33" s="192">
        <v>0</v>
      </c>
      <c r="F33" s="192">
        <v>0</v>
      </c>
      <c r="G33" s="192">
        <v>0</v>
      </c>
      <c r="H33" s="192">
        <v>0</v>
      </c>
    </row>
    <row r="34" spans="2:8" x14ac:dyDescent="0.3">
      <c r="B34" s="198" t="s">
        <v>38</v>
      </c>
      <c r="C34" s="193">
        <v>4086.13</v>
      </c>
      <c r="D34" s="193">
        <v>5491.4</v>
      </c>
      <c r="E34" s="193">
        <v>8718.17</v>
      </c>
      <c r="F34" s="193">
        <v>9709.83</v>
      </c>
      <c r="G34" s="193">
        <v>10622.25</v>
      </c>
      <c r="H34" s="193">
        <v>10778.91</v>
      </c>
    </row>
    <row r="35" spans="2:8" x14ac:dyDescent="0.3">
      <c r="B35" s="198" t="s">
        <v>39</v>
      </c>
      <c r="C35" s="193">
        <v>865.45</v>
      </c>
      <c r="D35" s="193">
        <v>1237.71</v>
      </c>
      <c r="E35" s="193">
        <v>2323.75</v>
      </c>
      <c r="F35" s="193">
        <v>3130.94</v>
      </c>
      <c r="G35" s="193">
        <v>4041.45</v>
      </c>
      <c r="H35" s="193">
        <v>4278.8900000000003</v>
      </c>
    </row>
    <row r="36" spans="2:8" x14ac:dyDescent="0.3">
      <c r="B36" s="196" t="s">
        <v>40</v>
      </c>
      <c r="C36" s="192">
        <v>249.95</v>
      </c>
      <c r="D36" s="192">
        <v>156.35</v>
      </c>
      <c r="E36" s="192">
        <v>156.12</v>
      </c>
      <c r="F36" s="192">
        <v>244.45</v>
      </c>
      <c r="G36" s="192">
        <v>353.6</v>
      </c>
      <c r="H36" s="192">
        <v>33.22</v>
      </c>
    </row>
    <row r="37" spans="2:8" x14ac:dyDescent="0.3">
      <c r="B37" s="198" t="s">
        <v>41</v>
      </c>
      <c r="C37" s="193">
        <v>615.5</v>
      </c>
      <c r="D37" s="193">
        <v>1081.3599999999999</v>
      </c>
      <c r="E37" s="193">
        <v>2167.63</v>
      </c>
      <c r="F37" s="193">
        <v>2886.49</v>
      </c>
      <c r="G37" s="193">
        <v>3687.85</v>
      </c>
      <c r="H37" s="193">
        <v>4245.67</v>
      </c>
    </row>
    <row r="38" spans="2:8" x14ac:dyDescent="0.3">
      <c r="B38" s="196" t="s">
        <v>42</v>
      </c>
      <c r="C38" s="192">
        <v>412.82</v>
      </c>
      <c r="D38" s="192">
        <v>399.83</v>
      </c>
      <c r="E38" s="192">
        <v>483.13</v>
      </c>
      <c r="F38" s="192">
        <v>518.33000000000004</v>
      </c>
      <c r="G38" s="192">
        <v>617.91</v>
      </c>
      <c r="H38" s="192">
        <v>702.42</v>
      </c>
    </row>
    <row r="39" spans="2:8" x14ac:dyDescent="0.3">
      <c r="B39" s="198" t="s">
        <v>43</v>
      </c>
      <c r="C39" s="193">
        <v>202.68</v>
      </c>
      <c r="D39" s="193">
        <v>681.53</v>
      </c>
      <c r="E39" s="193">
        <v>1684.5</v>
      </c>
      <c r="F39" s="193">
        <v>2368.16</v>
      </c>
      <c r="G39" s="193">
        <v>3069.94</v>
      </c>
      <c r="H39" s="193">
        <v>3543.25</v>
      </c>
    </row>
    <row r="40" spans="2:8" x14ac:dyDescent="0.3">
      <c r="B40" s="196" t="s">
        <v>44</v>
      </c>
      <c r="C40" s="192">
        <v>28.43</v>
      </c>
      <c r="D40" s="192">
        <v>116.74</v>
      </c>
      <c r="E40" s="192">
        <v>395.21</v>
      </c>
      <c r="F40" s="192">
        <v>598.99</v>
      </c>
      <c r="G40" s="192">
        <v>686.56</v>
      </c>
      <c r="H40" s="192">
        <v>763.54</v>
      </c>
    </row>
    <row r="41" spans="2:8" x14ac:dyDescent="0.3">
      <c r="B41" s="196" t="s">
        <v>45</v>
      </c>
      <c r="C41" s="192">
        <v>0</v>
      </c>
      <c r="D41" s="192">
        <v>0</v>
      </c>
      <c r="E41" s="192">
        <v>0</v>
      </c>
      <c r="F41" s="192">
        <v>0</v>
      </c>
      <c r="G41" s="192">
        <v>0</v>
      </c>
      <c r="H41" s="192">
        <v>0</v>
      </c>
    </row>
    <row r="42" spans="2:8" x14ac:dyDescent="0.3">
      <c r="B42" s="196" t="s">
        <v>46</v>
      </c>
      <c r="C42" s="192">
        <v>-52.18</v>
      </c>
      <c r="D42" s="192">
        <v>75.3</v>
      </c>
      <c r="E42" s="192">
        <v>19.09</v>
      </c>
      <c r="F42" s="192">
        <v>-5.95</v>
      </c>
      <c r="G42" s="192">
        <v>63.02</v>
      </c>
      <c r="H42" s="192">
        <v>103.06</v>
      </c>
    </row>
    <row r="43" spans="2:8" x14ac:dyDescent="0.3">
      <c r="B43" s="198" t="s">
        <v>47</v>
      </c>
      <c r="C43" s="193">
        <v>226.43</v>
      </c>
      <c r="D43" s="193">
        <v>489.49</v>
      </c>
      <c r="E43" s="193">
        <v>1270.2</v>
      </c>
      <c r="F43" s="193">
        <v>1775.13</v>
      </c>
      <c r="G43" s="193">
        <v>2320.36</v>
      </c>
      <c r="H43" s="193">
        <v>2676.64</v>
      </c>
    </row>
    <row r="44" spans="2:8" x14ac:dyDescent="0.3">
      <c r="B44" s="196" t="s">
        <v>48</v>
      </c>
      <c r="C44" s="192">
        <v>-57.21</v>
      </c>
      <c r="D44" s="192">
        <v>-15.22</v>
      </c>
      <c r="E44" s="192">
        <v>-33.18</v>
      </c>
      <c r="F44" s="192">
        <v>-56.73</v>
      </c>
      <c r="G44" s="192">
        <v>-55.9</v>
      </c>
      <c r="H44" s="192">
        <v>103.33</v>
      </c>
    </row>
    <row r="45" spans="2:8" x14ac:dyDescent="0.3">
      <c r="B45" s="198" t="s">
        <v>49</v>
      </c>
      <c r="C45" s="193">
        <v>283.64</v>
      </c>
      <c r="D45" s="193">
        <v>504.71</v>
      </c>
      <c r="E45" s="193">
        <v>1303.3800000000001</v>
      </c>
      <c r="F45" s="193">
        <v>1831.86</v>
      </c>
      <c r="G45" s="193">
        <v>2376.2600000000002</v>
      </c>
      <c r="H45" s="193">
        <v>2573.31</v>
      </c>
    </row>
    <row r="46" spans="2:8" x14ac:dyDescent="0.3">
      <c r="B46" s="196" t="s">
        <v>50</v>
      </c>
      <c r="C46" s="192">
        <v>-8.7899999999999991</v>
      </c>
      <c r="D46" s="192">
        <v>5.63</v>
      </c>
      <c r="E46" s="192">
        <v>8.06</v>
      </c>
      <c r="F46" s="192">
        <v>-2.08</v>
      </c>
      <c r="G46" s="192">
        <v>3751.82</v>
      </c>
      <c r="H46" s="192">
        <v>24.15</v>
      </c>
    </row>
    <row r="47" spans="2:8" x14ac:dyDescent="0.3">
      <c r="B47" s="196" t="s">
        <v>51</v>
      </c>
      <c r="C47" s="192">
        <v>861.98</v>
      </c>
      <c r="D47" s="192">
        <v>1007.44</v>
      </c>
      <c r="E47" s="192">
        <v>1394.3</v>
      </c>
      <c r="F47" s="192">
        <v>2510.17</v>
      </c>
      <c r="G47" s="192">
        <v>0</v>
      </c>
      <c r="H47" s="192">
        <v>6072.19</v>
      </c>
    </row>
    <row r="48" spans="2:8" x14ac:dyDescent="0.3">
      <c r="B48" s="196" t="s">
        <v>52</v>
      </c>
      <c r="C48" s="192">
        <v>0</v>
      </c>
      <c r="D48" s="192">
        <v>0</v>
      </c>
      <c r="E48" s="192">
        <v>0</v>
      </c>
      <c r="F48" s="192">
        <v>0</v>
      </c>
      <c r="G48" s="192">
        <v>0</v>
      </c>
      <c r="H48" s="192">
        <v>0</v>
      </c>
    </row>
    <row r="49" spans="2:8" x14ac:dyDescent="0.3">
      <c r="B49" s="196" t="s">
        <v>53</v>
      </c>
      <c r="C49" s="192">
        <v>72.17</v>
      </c>
      <c r="D49" s="192">
        <v>108.26</v>
      </c>
      <c r="E49" s="192">
        <v>162.38999999999999</v>
      </c>
      <c r="F49" s="192">
        <v>227.35</v>
      </c>
      <c r="G49" s="192">
        <v>0</v>
      </c>
      <c r="H49" s="192">
        <v>507.28</v>
      </c>
    </row>
    <row r="50" spans="2:8" x14ac:dyDescent="0.3">
      <c r="B50" s="198" t="s">
        <v>54</v>
      </c>
      <c r="C50" s="193">
        <v>1007.44</v>
      </c>
      <c r="D50" s="193">
        <v>1394.3</v>
      </c>
      <c r="E50" s="193">
        <v>2510.17</v>
      </c>
      <c r="F50" s="193">
        <v>4055.87</v>
      </c>
      <c r="G50" s="193">
        <v>6072.19</v>
      </c>
      <c r="H50" s="193">
        <v>8265.7000000000007</v>
      </c>
    </row>
    <row r="51" spans="2:8" x14ac:dyDescent="0.3">
      <c r="B51" s="196" t="s">
        <v>55</v>
      </c>
      <c r="C51" s="192">
        <v>0</v>
      </c>
      <c r="D51" s="192">
        <v>0</v>
      </c>
      <c r="E51" s="192">
        <v>0</v>
      </c>
      <c r="F51" s="192">
        <v>0</v>
      </c>
      <c r="G51" s="192">
        <v>0</v>
      </c>
      <c r="H51" s="192">
        <v>0</v>
      </c>
    </row>
    <row r="52" spans="2:8" x14ac:dyDescent="0.3">
      <c r="B52" s="196" t="s">
        <v>56</v>
      </c>
      <c r="C52" s="192">
        <v>0</v>
      </c>
      <c r="D52" s="192">
        <v>0</v>
      </c>
      <c r="E52" s="192">
        <v>0</v>
      </c>
      <c r="F52" s="192">
        <v>0</v>
      </c>
      <c r="G52" s="192">
        <v>0</v>
      </c>
      <c r="H52" s="192">
        <v>0</v>
      </c>
    </row>
    <row r="53" spans="2:8" x14ac:dyDescent="0.3">
      <c r="B53" s="196" t="s">
        <v>57</v>
      </c>
      <c r="C53" s="199">
        <v>25</v>
      </c>
      <c r="D53" s="199">
        <v>25</v>
      </c>
      <c r="E53" s="199">
        <v>35</v>
      </c>
      <c r="F53" s="199">
        <v>50</v>
      </c>
      <c r="G53" s="199">
        <v>50</v>
      </c>
      <c r="H53" s="199">
        <v>75</v>
      </c>
    </row>
    <row r="54" spans="2:8" x14ac:dyDescent="0.3">
      <c r="B54" s="196" t="s">
        <v>58</v>
      </c>
      <c r="C54" s="192">
        <v>2.5</v>
      </c>
      <c r="D54" s="192">
        <v>2.5</v>
      </c>
      <c r="E54" s="192">
        <v>3.5</v>
      </c>
      <c r="F54" s="192">
        <v>2.5</v>
      </c>
      <c r="G54" s="192">
        <v>1</v>
      </c>
      <c r="H54" s="192">
        <v>1.5</v>
      </c>
    </row>
    <row r="55" spans="2:8" x14ac:dyDescent="0.3">
      <c r="B55" s="200" t="s">
        <v>59</v>
      </c>
      <c r="C55" s="192">
        <v>7.84</v>
      </c>
      <c r="D55" s="192">
        <v>11.3</v>
      </c>
      <c r="E55" s="192">
        <v>19.559999999999999</v>
      </c>
      <c r="F55" s="192">
        <v>13.66</v>
      </c>
      <c r="G55" s="192">
        <v>6.86</v>
      </c>
      <c r="H55" s="192">
        <v>7.91</v>
      </c>
    </row>
    <row r="56" spans="2:8" x14ac:dyDescent="0.3">
      <c r="B56" s="200" t="s">
        <v>60</v>
      </c>
      <c r="C56" s="192">
        <v>0.7</v>
      </c>
      <c r="D56" s="192">
        <v>1.51</v>
      </c>
      <c r="E56" s="192">
        <v>3.91</v>
      </c>
      <c r="F56" s="192">
        <v>5.46</v>
      </c>
      <c r="G56" s="192">
        <v>6.86</v>
      </c>
      <c r="H56" s="192">
        <v>7.91</v>
      </c>
    </row>
    <row r="57" spans="2:8" x14ac:dyDescent="0.3">
      <c r="B57" s="200" t="s">
        <v>61</v>
      </c>
      <c r="C57" s="192">
        <v>138.97</v>
      </c>
      <c r="D57" s="192">
        <v>101.58</v>
      </c>
      <c r="E57" s="192">
        <v>84.94</v>
      </c>
      <c r="F57" s="192">
        <v>54.46</v>
      </c>
      <c r="G57" s="192">
        <v>48.97</v>
      </c>
      <c r="H57" s="192">
        <v>55.48</v>
      </c>
    </row>
    <row r="58" spans="2:8" x14ac:dyDescent="0.3">
      <c r="B58" s="200" t="s">
        <v>62</v>
      </c>
      <c r="C58" s="192">
        <v>12.35</v>
      </c>
      <c r="D58" s="192">
        <v>13.54</v>
      </c>
      <c r="E58" s="192">
        <v>16.989999999999998</v>
      </c>
      <c r="F58" s="192">
        <v>21.78</v>
      </c>
      <c r="G58" s="192">
        <v>48.97</v>
      </c>
      <c r="H58" s="192">
        <v>55.48</v>
      </c>
    </row>
    <row r="59" spans="2:8" x14ac:dyDescent="0.3">
      <c r="B59" s="200" t="s">
        <v>63</v>
      </c>
      <c r="C59" s="192">
        <v>0.22</v>
      </c>
      <c r="D59" s="192">
        <v>0.33</v>
      </c>
      <c r="E59" s="192">
        <v>0.7</v>
      </c>
      <c r="F59" s="192">
        <v>1</v>
      </c>
      <c r="G59" s="192">
        <v>1</v>
      </c>
      <c r="H59" s="192">
        <v>1.5</v>
      </c>
    </row>
    <row r="60" spans="2:8" x14ac:dyDescent="0.3">
      <c r="B60" s="77"/>
      <c r="C60" s="77"/>
      <c r="D60" s="77"/>
      <c r="E60" s="77"/>
      <c r="F60" s="77"/>
      <c r="G60" s="77"/>
      <c r="H60" s="77"/>
    </row>
    <row r="62" spans="2:8" ht="25.5" customHeight="1" x14ac:dyDescent="0.3">
      <c r="B62" s="249" t="s">
        <v>64</v>
      </c>
      <c r="C62" s="249"/>
      <c r="D62" s="249"/>
      <c r="E62" s="249"/>
      <c r="F62" s="249"/>
      <c r="G62" s="249"/>
      <c r="H62" s="249"/>
    </row>
    <row r="63" spans="2:8" x14ac:dyDescent="0.3">
      <c r="C63" s="250" t="s">
        <v>2</v>
      </c>
      <c r="D63" s="250"/>
      <c r="E63" s="250"/>
      <c r="F63" s="250"/>
      <c r="G63" s="250"/>
      <c r="H63" s="250"/>
    </row>
    <row r="64" spans="2:8" x14ac:dyDescent="0.3">
      <c r="C64" s="3" t="s">
        <v>3</v>
      </c>
      <c r="D64" s="3" t="s">
        <v>4</v>
      </c>
      <c r="E64" s="3" t="s">
        <v>5</v>
      </c>
      <c r="F64" s="3" t="s">
        <v>6</v>
      </c>
      <c r="G64" s="3" t="s">
        <v>7</v>
      </c>
      <c r="H64" s="3" t="s">
        <v>8</v>
      </c>
    </row>
    <row r="65" spans="2:8" ht="18" customHeight="1" x14ac:dyDescent="0.3">
      <c r="B65" s="248" t="s">
        <v>65</v>
      </c>
      <c r="C65" s="248"/>
      <c r="D65" s="248"/>
      <c r="E65" s="248"/>
      <c r="F65" s="248"/>
      <c r="G65" s="248"/>
      <c r="H65" s="248"/>
    </row>
    <row r="66" spans="2:8" ht="18" customHeight="1" x14ac:dyDescent="0.3">
      <c r="B66" s="248" t="s">
        <v>66</v>
      </c>
      <c r="C66" s="248"/>
      <c r="D66" s="248"/>
      <c r="E66" s="248"/>
      <c r="F66" s="248"/>
      <c r="G66" s="248"/>
      <c r="H66" s="248"/>
    </row>
    <row r="67" spans="2:8" x14ac:dyDescent="0.3">
      <c r="B67" s="196" t="s">
        <v>67</v>
      </c>
      <c r="C67" s="192">
        <v>288.69</v>
      </c>
      <c r="D67" s="192">
        <v>433.03</v>
      </c>
      <c r="E67" s="192">
        <v>649.54999999999995</v>
      </c>
      <c r="F67" s="192">
        <v>649.61</v>
      </c>
      <c r="G67" s="192">
        <v>676.3</v>
      </c>
      <c r="H67" s="192">
        <v>676.4</v>
      </c>
    </row>
    <row r="68" spans="2:8" x14ac:dyDescent="0.3">
      <c r="B68" s="196" t="s">
        <v>68</v>
      </c>
      <c r="C68" s="192">
        <v>3723.08</v>
      </c>
      <c r="D68" s="192">
        <v>3965.59</v>
      </c>
      <c r="E68" s="192">
        <v>4867.8500000000004</v>
      </c>
      <c r="F68" s="192">
        <v>6425.85</v>
      </c>
      <c r="G68" s="192">
        <v>15882.4</v>
      </c>
      <c r="H68" s="192">
        <v>18088.13</v>
      </c>
    </row>
    <row r="69" spans="2:8" x14ac:dyDescent="0.3">
      <c r="B69" s="198" t="s">
        <v>69</v>
      </c>
      <c r="C69" s="193">
        <v>4011.77</v>
      </c>
      <c r="D69" s="193">
        <v>4398.62</v>
      </c>
      <c r="E69" s="193">
        <v>5517.4</v>
      </c>
      <c r="F69" s="193">
        <v>7075.45</v>
      </c>
      <c r="G69" s="193">
        <v>16558.71</v>
      </c>
      <c r="H69" s="193">
        <v>18764.53</v>
      </c>
    </row>
    <row r="70" spans="2:8" x14ac:dyDescent="0.3">
      <c r="B70" s="196" t="s">
        <v>70</v>
      </c>
      <c r="C70" s="192">
        <v>0</v>
      </c>
      <c r="D70" s="192">
        <v>0</v>
      </c>
      <c r="E70" s="192">
        <v>0</v>
      </c>
      <c r="F70" s="192">
        <v>0.35</v>
      </c>
      <c r="G70" s="192">
        <v>0</v>
      </c>
      <c r="H70" s="192">
        <v>0.27</v>
      </c>
    </row>
    <row r="71" spans="2:8" ht="18" customHeight="1" x14ac:dyDescent="0.3">
      <c r="B71" s="248" t="s">
        <v>71</v>
      </c>
      <c r="C71" s="248"/>
      <c r="D71" s="248"/>
      <c r="E71" s="248"/>
      <c r="F71" s="248"/>
      <c r="G71" s="248"/>
      <c r="H71" s="248"/>
    </row>
    <row r="72" spans="2:8" x14ac:dyDescent="0.3">
      <c r="B72" s="5" t="s">
        <v>72</v>
      </c>
      <c r="C72" s="192">
        <v>1954.35</v>
      </c>
      <c r="D72" s="192">
        <v>1712.44</v>
      </c>
      <c r="E72" s="192">
        <v>1653.26</v>
      </c>
      <c r="F72" s="192">
        <v>3010.55</v>
      </c>
      <c r="G72" s="192">
        <v>144.21</v>
      </c>
      <c r="H72" s="192">
        <v>266.39</v>
      </c>
    </row>
    <row r="73" spans="2:8" x14ac:dyDescent="0.3">
      <c r="B73" s="5" t="s">
        <v>73</v>
      </c>
      <c r="C73" s="192">
        <v>0</v>
      </c>
      <c r="D73" s="192">
        <v>8.75</v>
      </c>
      <c r="E73" s="192">
        <v>111.74</v>
      </c>
      <c r="F73" s="192">
        <v>104.37</v>
      </c>
      <c r="G73" s="192">
        <v>41.96</v>
      </c>
      <c r="H73" s="192">
        <v>25.54</v>
      </c>
    </row>
    <row r="74" spans="2:8" x14ac:dyDescent="0.3">
      <c r="B74" s="5" t="s">
        <v>74</v>
      </c>
      <c r="C74" s="192">
        <v>220.99</v>
      </c>
      <c r="D74" s="192">
        <v>298.18</v>
      </c>
      <c r="E74" s="192">
        <v>319.98</v>
      </c>
      <c r="F74" s="192">
        <v>313.33</v>
      </c>
      <c r="G74" s="192">
        <v>383.35</v>
      </c>
      <c r="H74" s="192">
        <v>493.22</v>
      </c>
    </row>
    <row r="75" spans="2:8" x14ac:dyDescent="0.3">
      <c r="B75" s="7" t="s">
        <v>75</v>
      </c>
      <c r="C75" s="192">
        <v>220.99</v>
      </c>
      <c r="D75" s="192">
        <v>380.16</v>
      </c>
      <c r="E75" s="192">
        <v>381.1</v>
      </c>
      <c r="F75" s="192">
        <v>377.85</v>
      </c>
      <c r="G75" s="192">
        <v>445.35</v>
      </c>
      <c r="H75" s="192">
        <v>554.66999999999996</v>
      </c>
    </row>
    <row r="76" spans="2:8" x14ac:dyDescent="0.3">
      <c r="B76" s="7" t="s">
        <v>76</v>
      </c>
      <c r="C76" s="192">
        <v>0</v>
      </c>
      <c r="D76" s="192">
        <v>81.98</v>
      </c>
      <c r="E76" s="192">
        <v>61.12</v>
      </c>
      <c r="F76" s="192">
        <v>64.52</v>
      </c>
      <c r="G76" s="192">
        <v>62</v>
      </c>
      <c r="H76" s="192">
        <v>61.45</v>
      </c>
    </row>
    <row r="77" spans="2:8" x14ac:dyDescent="0.3">
      <c r="B77" s="5" t="s">
        <v>77</v>
      </c>
      <c r="C77" s="192">
        <v>8.68</v>
      </c>
      <c r="D77" s="192">
        <v>0.67</v>
      </c>
      <c r="E77" s="192">
        <v>0.59</v>
      </c>
      <c r="F77" s="192">
        <v>6.84</v>
      </c>
      <c r="G77" s="192">
        <v>4.7300000000000004</v>
      </c>
      <c r="H77" s="192">
        <v>0.36</v>
      </c>
    </row>
    <row r="78" spans="2:8" x14ac:dyDescent="0.3">
      <c r="B78" s="5" t="s">
        <v>78</v>
      </c>
      <c r="C78" s="192">
        <v>193.16</v>
      </c>
      <c r="D78" s="192">
        <v>199.46</v>
      </c>
      <c r="E78" s="192">
        <v>197.66</v>
      </c>
      <c r="F78" s="192">
        <v>205.63</v>
      </c>
      <c r="G78" s="192">
        <v>177.7</v>
      </c>
      <c r="H78" s="192">
        <v>172.83</v>
      </c>
    </row>
    <row r="79" spans="2:8" x14ac:dyDescent="0.3">
      <c r="B79" s="4" t="s">
        <v>79</v>
      </c>
      <c r="C79" s="193">
        <v>2377.19</v>
      </c>
      <c r="D79" s="193">
        <v>2219.5100000000002</v>
      </c>
      <c r="E79" s="193">
        <v>2283.2399999999998</v>
      </c>
      <c r="F79" s="193">
        <v>3640.71</v>
      </c>
      <c r="G79" s="193">
        <v>751.95</v>
      </c>
      <c r="H79" s="193">
        <v>958.34</v>
      </c>
    </row>
    <row r="80" spans="2:8" ht="18" customHeight="1" x14ac:dyDescent="0.3">
      <c r="B80" s="248" t="s">
        <v>80</v>
      </c>
      <c r="C80" s="248"/>
      <c r="D80" s="248"/>
      <c r="E80" s="248"/>
      <c r="F80" s="248"/>
      <c r="G80" s="248"/>
      <c r="H80" s="248"/>
    </row>
    <row r="81" spans="2:8" x14ac:dyDescent="0.3">
      <c r="B81" s="196" t="s">
        <v>81</v>
      </c>
      <c r="C81" s="192">
        <v>635.54</v>
      </c>
      <c r="D81" s="192">
        <v>1456.89</v>
      </c>
      <c r="E81" s="192">
        <v>1818.59</v>
      </c>
      <c r="F81" s="192">
        <v>1749.56</v>
      </c>
      <c r="G81" s="192">
        <v>687.33</v>
      </c>
      <c r="H81" s="192">
        <v>109.68</v>
      </c>
    </row>
    <row r="82" spans="2:8" x14ac:dyDescent="0.3">
      <c r="B82" s="196" t="s">
        <v>82</v>
      </c>
      <c r="C82" s="192">
        <v>0</v>
      </c>
      <c r="D82" s="192">
        <v>8.75</v>
      </c>
      <c r="E82" s="192">
        <v>111.74</v>
      </c>
      <c r="F82" s="192">
        <v>104.37</v>
      </c>
      <c r="G82" s="192">
        <v>41.96</v>
      </c>
      <c r="H82" s="192">
        <v>25.54</v>
      </c>
    </row>
    <row r="83" spans="2:8" x14ac:dyDescent="0.3">
      <c r="B83" s="196" t="s">
        <v>83</v>
      </c>
      <c r="C83" s="192">
        <v>272.07</v>
      </c>
      <c r="D83" s="192">
        <v>463.46</v>
      </c>
      <c r="E83" s="192">
        <v>575.79</v>
      </c>
      <c r="F83" s="192">
        <v>491.86</v>
      </c>
      <c r="G83" s="192">
        <v>557.83000000000004</v>
      </c>
      <c r="H83" s="192">
        <v>447.94</v>
      </c>
    </row>
    <row r="84" spans="2:8" x14ac:dyDescent="0.3">
      <c r="B84" s="196" t="s">
        <v>84</v>
      </c>
      <c r="C84" s="192">
        <v>967.73</v>
      </c>
      <c r="D84" s="192">
        <v>462.89</v>
      </c>
      <c r="E84" s="192">
        <v>766.81</v>
      </c>
      <c r="F84" s="192">
        <v>918.76</v>
      </c>
      <c r="G84" s="192">
        <v>805.41</v>
      </c>
      <c r="H84" s="192">
        <v>679.25</v>
      </c>
    </row>
    <row r="85" spans="2:8" x14ac:dyDescent="0.3">
      <c r="B85" s="196" t="s">
        <v>85</v>
      </c>
      <c r="C85" s="192">
        <v>32.28</v>
      </c>
      <c r="D85" s="192">
        <v>56.75</v>
      </c>
      <c r="E85" s="192">
        <v>95.75</v>
      </c>
      <c r="F85" s="192">
        <v>115.14</v>
      </c>
      <c r="G85" s="192">
        <v>115.04</v>
      </c>
      <c r="H85" s="192">
        <v>37.659999999999997</v>
      </c>
    </row>
    <row r="86" spans="2:8" x14ac:dyDescent="0.3">
      <c r="B86" s="198" t="s">
        <v>86</v>
      </c>
      <c r="C86" s="193">
        <v>1907.62</v>
      </c>
      <c r="D86" s="193">
        <v>2447.4899999999998</v>
      </c>
      <c r="E86" s="193">
        <v>3268.31</v>
      </c>
      <c r="F86" s="193">
        <v>3292.94</v>
      </c>
      <c r="G86" s="193">
        <v>2173.3200000000002</v>
      </c>
      <c r="H86" s="193">
        <v>1277.1400000000001</v>
      </c>
    </row>
    <row r="87" spans="2:8" x14ac:dyDescent="0.3">
      <c r="B87" s="200" t="s">
        <v>87</v>
      </c>
      <c r="C87" s="192">
        <v>0</v>
      </c>
      <c r="D87" s="192">
        <v>0</v>
      </c>
      <c r="E87" s="192">
        <v>0</v>
      </c>
      <c r="F87" s="192">
        <v>0</v>
      </c>
      <c r="G87" s="192">
        <v>0</v>
      </c>
      <c r="H87" s="192">
        <v>0</v>
      </c>
    </row>
    <row r="88" spans="2:8" x14ac:dyDescent="0.3">
      <c r="B88" s="198" t="s">
        <v>88</v>
      </c>
      <c r="C88" s="193">
        <v>8296.57</v>
      </c>
      <c r="D88" s="193">
        <v>9065.6200000000008</v>
      </c>
      <c r="E88" s="193">
        <v>11068.94</v>
      </c>
      <c r="F88" s="193">
        <v>14009.46</v>
      </c>
      <c r="G88" s="193">
        <v>19483.97</v>
      </c>
      <c r="H88" s="193">
        <v>21000.27</v>
      </c>
    </row>
    <row r="89" spans="2:8" ht="18" customHeight="1" x14ac:dyDescent="0.3">
      <c r="B89" s="248" t="s">
        <v>89</v>
      </c>
      <c r="C89" s="248"/>
      <c r="D89" s="248"/>
      <c r="E89" s="248"/>
      <c r="F89" s="248"/>
      <c r="G89" s="248"/>
      <c r="H89" s="248"/>
    </row>
    <row r="90" spans="2:8" ht="18" customHeight="1" x14ac:dyDescent="0.3">
      <c r="B90" s="248" t="s">
        <v>90</v>
      </c>
      <c r="C90" s="248"/>
      <c r="D90" s="248"/>
      <c r="E90" s="248"/>
      <c r="F90" s="248"/>
      <c r="G90" s="248"/>
      <c r="H90" s="248"/>
    </row>
    <row r="91" spans="2:8" x14ac:dyDescent="0.3">
      <c r="B91" s="201" t="s">
        <v>91</v>
      </c>
      <c r="C91" s="193">
        <v>5302.42</v>
      </c>
      <c r="D91" s="193">
        <v>5489.56</v>
      </c>
      <c r="E91" s="193">
        <v>6291.81</v>
      </c>
      <c r="F91" s="193">
        <v>8514.2099999999991</v>
      </c>
      <c r="G91" s="193">
        <v>10141.129999999999</v>
      </c>
      <c r="H91" s="193">
        <v>10977.67</v>
      </c>
    </row>
    <row r="92" spans="2:8" x14ac:dyDescent="0.3">
      <c r="B92" s="197" t="s">
        <v>92</v>
      </c>
      <c r="C92" s="192">
        <v>4706.17</v>
      </c>
      <c r="D92" s="192">
        <v>3934.91</v>
      </c>
      <c r="E92" s="192">
        <v>4375.37</v>
      </c>
      <c r="F92" s="192">
        <v>5503.61</v>
      </c>
      <c r="G92" s="192">
        <v>7701.61</v>
      </c>
      <c r="H92" s="192">
        <v>9375.33</v>
      </c>
    </row>
    <row r="93" spans="2:8" x14ac:dyDescent="0.3">
      <c r="B93" s="197" t="s">
        <v>93</v>
      </c>
      <c r="C93" s="192">
        <v>557.24</v>
      </c>
      <c r="D93" s="192">
        <v>556.21</v>
      </c>
      <c r="E93" s="192">
        <v>549.79999999999995</v>
      </c>
      <c r="F93" s="192">
        <v>547.01</v>
      </c>
      <c r="G93" s="192">
        <v>547.94000000000005</v>
      </c>
      <c r="H93" s="192">
        <v>556.04999999999995</v>
      </c>
    </row>
    <row r="94" spans="2:8" x14ac:dyDescent="0.3">
      <c r="B94" s="197" t="s">
        <v>94</v>
      </c>
      <c r="C94" s="192">
        <v>39.01</v>
      </c>
      <c r="D94" s="192">
        <v>477.95</v>
      </c>
      <c r="E94" s="192">
        <v>539.95000000000005</v>
      </c>
      <c r="F94" s="192">
        <v>1576</v>
      </c>
      <c r="G94" s="192">
        <v>955.66</v>
      </c>
      <c r="H94" s="192">
        <v>136.25</v>
      </c>
    </row>
    <row r="95" spans="2:8" x14ac:dyDescent="0.3">
      <c r="B95" s="197" t="s">
        <v>95</v>
      </c>
      <c r="C95" s="192">
        <v>0</v>
      </c>
      <c r="D95" s="192">
        <v>0</v>
      </c>
      <c r="E95" s="192">
        <v>0</v>
      </c>
      <c r="F95" s="192">
        <v>0</v>
      </c>
      <c r="G95" s="192">
        <v>4.37</v>
      </c>
      <c r="H95" s="192">
        <v>4.4800000000000004</v>
      </c>
    </row>
    <row r="96" spans="2:8" x14ac:dyDescent="0.3">
      <c r="B96" s="197" t="s">
        <v>96</v>
      </c>
      <c r="C96" s="192">
        <v>0</v>
      </c>
      <c r="D96" s="192">
        <v>520.49</v>
      </c>
      <c r="E96" s="192">
        <v>826.71</v>
      </c>
      <c r="F96" s="192">
        <v>887.59</v>
      </c>
      <c r="G96" s="192">
        <v>931.54</v>
      </c>
      <c r="H96" s="192">
        <v>905.57</v>
      </c>
    </row>
    <row r="97" spans="2:9" x14ac:dyDescent="0.3">
      <c r="B97" s="196" t="s">
        <v>97</v>
      </c>
      <c r="C97" s="192">
        <v>1352.17</v>
      </c>
      <c r="D97" s="192">
        <v>1352.24</v>
      </c>
      <c r="E97" s="192">
        <v>1354.32</v>
      </c>
      <c r="F97" s="192">
        <v>1449.95</v>
      </c>
      <c r="G97" s="192">
        <v>2096.0100000000002</v>
      </c>
      <c r="H97" s="192">
        <v>3770.46</v>
      </c>
    </row>
    <row r="98" spans="2:9" x14ac:dyDescent="0.3">
      <c r="B98" s="196" t="s">
        <v>98</v>
      </c>
      <c r="C98" s="192">
        <v>0</v>
      </c>
      <c r="D98" s="192">
        <v>0</v>
      </c>
      <c r="E98" s="192">
        <v>0</v>
      </c>
      <c r="F98" s="192">
        <v>0</v>
      </c>
      <c r="G98" s="192">
        <v>0</v>
      </c>
      <c r="H98" s="192">
        <v>0</v>
      </c>
    </row>
    <row r="99" spans="2:9" x14ac:dyDescent="0.3">
      <c r="B99" s="197" t="s">
        <v>99</v>
      </c>
      <c r="C99" s="192">
        <v>0</v>
      </c>
      <c r="D99" s="192">
        <v>81.98</v>
      </c>
      <c r="E99" s="192">
        <v>61.12</v>
      </c>
      <c r="F99" s="192">
        <v>64.52</v>
      </c>
      <c r="G99" s="192">
        <v>62</v>
      </c>
      <c r="H99" s="192">
        <v>61.45</v>
      </c>
    </row>
    <row r="100" spans="2:9" x14ac:dyDescent="0.3">
      <c r="B100" s="197" t="s">
        <v>100</v>
      </c>
      <c r="C100" s="192">
        <v>220.99</v>
      </c>
      <c r="D100" s="192">
        <v>380.16</v>
      </c>
      <c r="E100" s="192">
        <v>381.1</v>
      </c>
      <c r="F100" s="192">
        <v>377.85</v>
      </c>
      <c r="G100" s="192">
        <v>445.35</v>
      </c>
      <c r="H100" s="192">
        <v>554.66999999999996</v>
      </c>
    </row>
    <row r="101" spans="2:9" x14ac:dyDescent="0.3">
      <c r="B101" s="196" t="s">
        <v>101</v>
      </c>
      <c r="C101" s="192">
        <v>371.98</v>
      </c>
      <c r="D101" s="192">
        <v>451.72</v>
      </c>
      <c r="E101" s="192">
        <v>967.3</v>
      </c>
      <c r="F101" s="192">
        <v>1105.73</v>
      </c>
      <c r="G101" s="192">
        <v>1905.42</v>
      </c>
      <c r="H101" s="192">
        <v>1143.71</v>
      </c>
    </row>
    <row r="102" spans="2:9" x14ac:dyDescent="0.3">
      <c r="B102" s="196" t="s">
        <v>102</v>
      </c>
      <c r="C102" s="192">
        <v>3.54</v>
      </c>
      <c r="D102" s="192">
        <v>3.87</v>
      </c>
      <c r="E102" s="192">
        <v>3.62</v>
      </c>
      <c r="F102" s="192">
        <v>4.4400000000000004</v>
      </c>
      <c r="G102" s="192">
        <v>3.36</v>
      </c>
      <c r="H102" s="192">
        <v>2.76</v>
      </c>
    </row>
    <row r="103" spans="2:9" x14ac:dyDescent="0.3">
      <c r="B103" s="198" t="s">
        <v>103</v>
      </c>
      <c r="C103" s="193">
        <v>7030.1</v>
      </c>
      <c r="D103" s="193">
        <v>7297.4</v>
      </c>
      <c r="E103" s="193">
        <v>8617.0499999999993</v>
      </c>
      <c r="F103" s="193">
        <v>11074.33</v>
      </c>
      <c r="G103" s="193">
        <v>14145.93</v>
      </c>
      <c r="H103" s="193">
        <v>15894.6</v>
      </c>
    </row>
    <row r="104" spans="2:9" ht="18" customHeight="1" x14ac:dyDescent="0.3">
      <c r="B104" s="248" t="s">
        <v>104</v>
      </c>
      <c r="C104" s="248"/>
      <c r="D104" s="248"/>
      <c r="E104" s="248"/>
      <c r="F104" s="248"/>
      <c r="G104" s="248"/>
      <c r="H104" s="248"/>
    </row>
    <row r="105" spans="2:9" x14ac:dyDescent="0.3">
      <c r="B105" s="5" t="s">
        <v>105</v>
      </c>
      <c r="C105" s="192">
        <v>0</v>
      </c>
      <c r="D105" s="192">
        <v>0</v>
      </c>
      <c r="E105" s="192">
        <v>0</v>
      </c>
      <c r="F105" s="192">
        <v>0</v>
      </c>
      <c r="G105" s="192">
        <v>0</v>
      </c>
      <c r="H105" s="192">
        <v>0</v>
      </c>
      <c r="I105" s="77"/>
    </row>
    <row r="106" spans="2:9" x14ac:dyDescent="0.3">
      <c r="B106" s="5" t="s">
        <v>106</v>
      </c>
      <c r="C106" s="192">
        <v>679.06</v>
      </c>
      <c r="D106" s="192">
        <v>1066.27</v>
      </c>
      <c r="E106" s="192">
        <v>1426.15</v>
      </c>
      <c r="F106" s="192">
        <v>1535.87</v>
      </c>
      <c r="G106" s="192">
        <v>1688.71</v>
      </c>
      <c r="H106" s="192">
        <v>1659.03</v>
      </c>
      <c r="I106" s="77"/>
    </row>
    <row r="107" spans="2:9" x14ac:dyDescent="0.3">
      <c r="B107" s="5" t="s">
        <v>107</v>
      </c>
      <c r="C107" s="192">
        <v>170.53</v>
      </c>
      <c r="D107" s="192">
        <v>132.07</v>
      </c>
      <c r="E107" s="192">
        <v>150.24</v>
      </c>
      <c r="F107" s="192">
        <v>212.94</v>
      </c>
      <c r="G107" s="192">
        <v>199.76</v>
      </c>
      <c r="H107" s="192">
        <v>266.20999999999998</v>
      </c>
      <c r="I107" s="77"/>
    </row>
    <row r="108" spans="2:9" x14ac:dyDescent="0.3">
      <c r="B108" s="5" t="s">
        <v>108</v>
      </c>
      <c r="C108" s="192">
        <v>36.479999999999997</v>
      </c>
      <c r="D108" s="192">
        <v>24.24</v>
      </c>
      <c r="E108" s="192">
        <v>47.49</v>
      </c>
      <c r="F108" s="192">
        <v>52.31</v>
      </c>
      <c r="G108" s="192">
        <v>2058.71</v>
      </c>
      <c r="H108" s="192">
        <v>1599.94</v>
      </c>
      <c r="I108" s="77"/>
    </row>
    <row r="109" spans="2:9" x14ac:dyDescent="0.3">
      <c r="B109" s="5" t="s">
        <v>109</v>
      </c>
      <c r="C109" s="192">
        <v>207.07</v>
      </c>
      <c r="D109" s="192">
        <v>289.8</v>
      </c>
      <c r="E109" s="192">
        <v>431.12</v>
      </c>
      <c r="F109" s="192">
        <v>465.76</v>
      </c>
      <c r="G109" s="192">
        <v>540.53</v>
      </c>
      <c r="H109" s="192">
        <v>371.55</v>
      </c>
      <c r="I109" s="77"/>
    </row>
    <row r="110" spans="2:9" x14ac:dyDescent="0.3">
      <c r="B110" s="5" t="s">
        <v>110</v>
      </c>
      <c r="C110" s="192">
        <v>173.34</v>
      </c>
      <c r="D110" s="192">
        <v>255.84</v>
      </c>
      <c r="E110" s="192">
        <v>396.9</v>
      </c>
      <c r="F110" s="192">
        <v>668.24</v>
      </c>
      <c r="G110" s="192">
        <v>850.35</v>
      </c>
      <c r="H110" s="192">
        <v>1202.31</v>
      </c>
      <c r="I110" s="77"/>
    </row>
    <row r="111" spans="2:9" x14ac:dyDescent="0.3">
      <c r="B111" s="4" t="s">
        <v>111</v>
      </c>
      <c r="C111" s="193">
        <v>1266.48</v>
      </c>
      <c r="D111" s="193">
        <v>1768.22</v>
      </c>
      <c r="E111" s="193">
        <v>2451.9</v>
      </c>
      <c r="F111" s="193">
        <v>2935.13</v>
      </c>
      <c r="G111" s="193">
        <v>5338.05</v>
      </c>
      <c r="H111" s="193">
        <v>5099.03</v>
      </c>
      <c r="I111" s="77"/>
    </row>
    <row r="112" spans="2:9" x14ac:dyDescent="0.3">
      <c r="B112" s="8" t="s">
        <v>112</v>
      </c>
      <c r="C112" s="192">
        <v>0</v>
      </c>
      <c r="D112" s="192">
        <v>0</v>
      </c>
      <c r="E112" s="192">
        <v>0</v>
      </c>
      <c r="F112" s="192">
        <v>0</v>
      </c>
      <c r="G112" s="192">
        <v>0</v>
      </c>
      <c r="H112" s="192">
        <v>6.64</v>
      </c>
      <c r="I112" s="77"/>
    </row>
    <row r="113" spans="2:9" x14ac:dyDescent="0.3">
      <c r="B113" s="4" t="s">
        <v>113</v>
      </c>
      <c r="C113" s="193">
        <v>8296.57</v>
      </c>
      <c r="D113" s="193">
        <v>9065.6200000000008</v>
      </c>
      <c r="E113" s="193">
        <v>11068.94</v>
      </c>
      <c r="F113" s="193">
        <v>14009.46</v>
      </c>
      <c r="G113" s="193">
        <v>19483.97</v>
      </c>
      <c r="H113" s="193">
        <v>21000.27</v>
      </c>
      <c r="I113" s="77"/>
    </row>
  </sheetData>
  <mergeCells count="15">
    <mergeCell ref="B1:H1"/>
    <mergeCell ref="B2:H2"/>
    <mergeCell ref="C3:H3"/>
    <mergeCell ref="B5:H5"/>
    <mergeCell ref="B7:H7"/>
    <mergeCell ref="B14:H14"/>
    <mergeCell ref="B62:H62"/>
    <mergeCell ref="C63:H63"/>
    <mergeCell ref="B65:H65"/>
    <mergeCell ref="B66:H66"/>
    <mergeCell ref="B71:H71"/>
    <mergeCell ref="B80:H80"/>
    <mergeCell ref="B89:H89"/>
    <mergeCell ref="B90:H90"/>
    <mergeCell ref="B104:H10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N36"/>
  <sheetViews>
    <sheetView tabSelected="1" zoomScaleNormal="100" workbookViewId="0">
      <pane xSplit="2" ySplit="11" topLeftCell="C12" activePane="bottomRight" state="frozen"/>
      <selection pane="topRight" activeCell="C1" sqref="C1"/>
      <selection pane="bottomLeft" activeCell="A7" sqref="A7"/>
      <selection pane="bottomRight" activeCell="K6" sqref="K6"/>
    </sheetView>
  </sheetViews>
  <sheetFormatPr defaultColWidth="8.6640625" defaultRowHeight="14.4" x14ac:dyDescent="0.3"/>
  <cols>
    <col min="1" max="1" width="2" customWidth="1"/>
    <col min="2" max="2" width="42" customWidth="1"/>
    <col min="3" max="15" width="13" customWidth="1"/>
  </cols>
  <sheetData>
    <row r="1" spans="2:14" ht="27.75" customHeight="1" x14ac:dyDescent="0.3">
      <c r="B1" s="251" t="s">
        <v>114</v>
      </c>
      <c r="C1" s="251"/>
      <c r="D1" s="251"/>
      <c r="E1" s="251"/>
      <c r="F1" s="251"/>
      <c r="G1" s="251"/>
      <c r="H1" s="251"/>
      <c r="I1" s="251"/>
      <c r="J1" s="251"/>
      <c r="K1" s="251"/>
      <c r="L1" s="251"/>
      <c r="M1" s="251"/>
      <c r="N1" s="251"/>
    </row>
    <row r="2" spans="2:14" x14ac:dyDescent="0.3">
      <c r="B2" s="286"/>
      <c r="C2" s="286"/>
      <c r="D2" s="286"/>
      <c r="E2" s="286"/>
      <c r="F2" s="286"/>
      <c r="G2" s="286"/>
      <c r="H2" s="286"/>
      <c r="I2" s="286"/>
      <c r="J2" s="286"/>
      <c r="K2" s="286"/>
      <c r="L2" s="286"/>
      <c r="M2" s="286"/>
      <c r="N2" s="286"/>
    </row>
    <row r="3" spans="2:14" ht="15.6" x14ac:dyDescent="0.3">
      <c r="B3" s="286"/>
      <c r="C3" s="286"/>
      <c r="D3" s="286"/>
      <c r="E3" s="286"/>
      <c r="F3" s="286"/>
      <c r="G3" s="286"/>
      <c r="H3" s="286"/>
      <c r="I3" s="286"/>
      <c r="J3" s="286"/>
      <c r="K3" s="288" t="s">
        <v>507</v>
      </c>
      <c r="L3" s="288"/>
      <c r="M3" s="288" t="s">
        <v>508</v>
      </c>
      <c r="N3" s="286"/>
    </row>
    <row r="4" spans="2:14" ht="25.8" x14ac:dyDescent="0.5">
      <c r="B4" s="287" t="s">
        <v>500</v>
      </c>
      <c r="C4" s="288" t="s">
        <v>501</v>
      </c>
      <c r="D4" s="288"/>
      <c r="E4" s="288"/>
      <c r="F4" s="288"/>
      <c r="G4" s="288"/>
      <c r="H4" s="288"/>
      <c r="I4" s="288"/>
      <c r="J4" s="288"/>
      <c r="K4" s="288" t="s">
        <v>502</v>
      </c>
      <c r="L4" s="288" t="s">
        <v>503</v>
      </c>
      <c r="M4" s="289">
        <v>0.14000000000000001</v>
      </c>
      <c r="N4" s="286"/>
    </row>
    <row r="5" spans="2:14" ht="15.6" x14ac:dyDescent="0.3">
      <c r="B5" s="288"/>
      <c r="C5" s="288"/>
      <c r="D5" s="288"/>
      <c r="E5" s="288"/>
      <c r="F5" s="288"/>
      <c r="G5" s="288"/>
      <c r="H5" s="288"/>
      <c r="I5" s="288"/>
      <c r="J5" s="288"/>
      <c r="K5" s="288" t="s">
        <v>501</v>
      </c>
      <c r="L5" s="288" t="s">
        <v>504</v>
      </c>
      <c r="M5" s="289">
        <v>0.12</v>
      </c>
      <c r="N5" s="286"/>
    </row>
    <row r="6" spans="2:14" ht="25.8" x14ac:dyDescent="0.5">
      <c r="B6" s="288"/>
      <c r="C6" s="290"/>
      <c r="D6" s="288"/>
      <c r="E6" s="288"/>
      <c r="F6" s="288"/>
      <c r="G6" s="288"/>
      <c r="H6" s="288"/>
      <c r="I6" s="288"/>
      <c r="J6" s="288"/>
      <c r="K6" s="288" t="s">
        <v>505</v>
      </c>
      <c r="L6" s="288" t="s">
        <v>506</v>
      </c>
      <c r="M6" s="289">
        <v>0.1</v>
      </c>
      <c r="N6" s="286"/>
    </row>
    <row r="7" spans="2:14" x14ac:dyDescent="0.3">
      <c r="B7" s="286"/>
      <c r="C7" s="286"/>
      <c r="D7" s="286"/>
      <c r="E7" s="286"/>
      <c r="F7" s="286"/>
      <c r="G7" s="286"/>
      <c r="H7" s="286"/>
      <c r="I7" s="286"/>
      <c r="J7" s="286"/>
      <c r="K7" s="286"/>
      <c r="L7" s="286"/>
      <c r="M7" s="286"/>
      <c r="N7" s="286"/>
    </row>
    <row r="9" spans="2:14" ht="19.5" customHeight="1" x14ac:dyDescent="0.3">
      <c r="B9" s="253" t="s">
        <v>115</v>
      </c>
      <c r="C9" s="253"/>
      <c r="D9" s="253"/>
      <c r="E9" s="253"/>
      <c r="F9" s="253"/>
      <c r="G9" s="253"/>
      <c r="H9" s="253"/>
      <c r="I9" s="253"/>
      <c r="J9" s="253"/>
      <c r="K9" s="253"/>
      <c r="L9" s="253"/>
      <c r="M9" s="253"/>
      <c r="N9" s="253"/>
    </row>
    <row r="10" spans="2:14" x14ac:dyDescent="0.3">
      <c r="C10" s="250" t="s">
        <v>2</v>
      </c>
      <c r="D10" s="250"/>
      <c r="E10" s="250"/>
      <c r="F10" s="250"/>
      <c r="G10" s="250"/>
      <c r="H10" s="250"/>
      <c r="I10" s="254" t="s">
        <v>116</v>
      </c>
      <c r="J10" s="254"/>
      <c r="K10" s="254"/>
      <c r="L10" s="254"/>
      <c r="M10" s="254"/>
    </row>
    <row r="11" spans="2:14" x14ac:dyDescent="0.3">
      <c r="B11" s="9" t="s">
        <v>117</v>
      </c>
      <c r="C11" s="2" t="s">
        <v>3</v>
      </c>
      <c r="D11" s="2" t="s">
        <v>4</v>
      </c>
      <c r="E11" s="2" t="s">
        <v>5</v>
      </c>
      <c r="F11" s="2" t="s">
        <v>6</v>
      </c>
      <c r="G11" s="2" t="s">
        <v>7</v>
      </c>
      <c r="H11" s="2" t="s">
        <v>8</v>
      </c>
      <c r="I11" s="1" t="s">
        <v>118</v>
      </c>
      <c r="J11" s="1" t="s">
        <v>119</v>
      </c>
      <c r="K11" s="1" t="s">
        <v>120</v>
      </c>
      <c r="L11" s="1" t="s">
        <v>121</v>
      </c>
      <c r="M11" s="1" t="s">
        <v>122</v>
      </c>
    </row>
    <row r="13" spans="2:14" ht="13.5" customHeight="1" x14ac:dyDescent="0.3">
      <c r="B13" s="9" t="s">
        <v>123</v>
      </c>
      <c r="C13" s="192">
        <f>'Raw Data'!C10</f>
        <v>4876.45</v>
      </c>
      <c r="D13" s="192">
        <f>'Raw Data'!D10</f>
        <v>6595.74</v>
      </c>
      <c r="E13" s="192">
        <f>'Raw Data'!E10</f>
        <v>10595.83</v>
      </c>
      <c r="F13" s="192">
        <f>'Raw Data'!F10</f>
        <v>12632.83</v>
      </c>
      <c r="G13" s="192">
        <f>'Raw Data'!G10</f>
        <v>14348.6</v>
      </c>
      <c r="H13" s="192">
        <f>'Raw Data'!H10</f>
        <v>14556.82</v>
      </c>
      <c r="I13" s="187">
        <f>H13*(1+I14)</f>
        <v>16303.638400000002</v>
      </c>
      <c r="J13" s="187">
        <f>I13*(1+J14)</f>
        <v>18260.075008000003</v>
      </c>
      <c r="K13" s="187">
        <f>J13*(1+K14)</f>
        <v>20451.284008960007</v>
      </c>
      <c r="L13" s="187">
        <f>K13*(1+L14)</f>
        <v>22905.438090035208</v>
      </c>
      <c r="M13" s="187">
        <f>L13*(1+M14)</f>
        <v>25654.090660839436</v>
      </c>
    </row>
    <row r="14" spans="2:14" x14ac:dyDescent="0.3">
      <c r="B14" s="11" t="s">
        <v>124</v>
      </c>
      <c r="C14" s="12" t="s">
        <v>125</v>
      </c>
      <c r="D14" s="13">
        <f>(D13-C13)/C13</f>
        <v>0.35257000481907946</v>
      </c>
      <c r="E14" s="13">
        <f>(E13-D13)/D13</f>
        <v>0.60646568845952087</v>
      </c>
      <c r="F14" s="13">
        <f>(F13-E13)/E13</f>
        <v>0.19224543995137711</v>
      </c>
      <c r="G14" s="13">
        <f>(G13-F13)/F13</f>
        <v>0.13581833999191001</v>
      </c>
      <c r="H14" s="13">
        <f>(H13-G13)/G13</f>
        <v>1.4511520287693527E-2</v>
      </c>
      <c r="I14" s="188">
        <f>VLOOKUP($C$4,$K$4:$M$6,3,FALSE)</f>
        <v>0.12</v>
      </c>
      <c r="J14" s="188">
        <f t="shared" ref="J14:M14" si="0">VLOOKUP($C$4,$K$4:$M$6,3,FALSE)</f>
        <v>0.12</v>
      </c>
      <c r="K14" s="188">
        <f t="shared" si="0"/>
        <v>0.12</v>
      </c>
      <c r="L14" s="188">
        <f t="shared" si="0"/>
        <v>0.12</v>
      </c>
      <c r="M14" s="188">
        <f t="shared" si="0"/>
        <v>0.12</v>
      </c>
    </row>
    <row r="15" spans="2:14" x14ac:dyDescent="0.3">
      <c r="B15" s="8" t="s">
        <v>126</v>
      </c>
      <c r="C15" s="13">
        <f>'Raw Data'!C11/'Raw Data'!C10</f>
        <v>1.4762788503932164E-2</v>
      </c>
      <c r="D15" s="13">
        <f>'Raw Data'!D11/'Raw Data'!D10</f>
        <v>8.6874255201084341E-3</v>
      </c>
      <c r="E15" s="13">
        <f>'Raw Data'!E11/'Raw Data'!E10</f>
        <v>1.3567601594212062E-2</v>
      </c>
      <c r="F15" s="13">
        <f>'Raw Data'!F11/'Raw Data'!F10</f>
        <v>1.1568270925833719E-2</v>
      </c>
      <c r="G15" s="13">
        <f>'Raw Data'!G11/'Raw Data'!G10</f>
        <v>2.4667214919922499E-2</v>
      </c>
      <c r="H15" s="13">
        <f>'Raw Data'!H11/'Raw Data'!H10</f>
        <v>3.5305100976724312E-2</v>
      </c>
      <c r="I15" s="189">
        <f t="shared" ref="I15:I21" si="1">AVERAGE(C15:H15)</f>
        <v>1.8093067073455534E-2</v>
      </c>
      <c r="J15" s="189">
        <f t="shared" ref="J15:J21" si="2">AVERAGE(C15:H15)</f>
        <v>1.8093067073455534E-2</v>
      </c>
      <c r="K15" s="189">
        <f t="shared" ref="K15:K21" si="3">AVERAGE(C15:H15)</f>
        <v>1.8093067073455534E-2</v>
      </c>
      <c r="L15" s="189">
        <f t="shared" ref="L15:L21" si="4">AVERAGE(C15:H15)</f>
        <v>1.8093067073455534E-2</v>
      </c>
      <c r="M15" s="189">
        <f t="shared" ref="M15:M21" si="5">AVERAGE(C15:H15)</f>
        <v>1.8093067073455534E-2</v>
      </c>
    </row>
    <row r="16" spans="2:14" x14ac:dyDescent="0.3">
      <c r="B16" s="8" t="s">
        <v>127</v>
      </c>
      <c r="C16" s="13">
        <f>'Raw Data'!C15/'Raw Data'!C10</f>
        <v>0.45500517794707218</v>
      </c>
      <c r="D16" s="13">
        <f>'Raw Data'!D15/'Raw Data'!D10</f>
        <v>0.48595608680754548</v>
      </c>
      <c r="E16" s="13">
        <f>'Raw Data'!E15/'Raw Data'!E10</f>
        <v>0.52657413340908643</v>
      </c>
      <c r="F16" s="13">
        <f>'Raw Data'!F15/'Raw Data'!F10</f>
        <v>0.47908584220637818</v>
      </c>
      <c r="G16" s="13">
        <f>'Raw Data'!G15/'Raw Data'!G10</f>
        <v>0.45754568389947453</v>
      </c>
      <c r="H16" s="13">
        <f>'Raw Data'!H15/'Raw Data'!H10</f>
        <v>0.46317464940831859</v>
      </c>
      <c r="I16" s="189">
        <f t="shared" si="1"/>
        <v>0.47789026227964593</v>
      </c>
      <c r="J16" s="189">
        <f t="shared" si="2"/>
        <v>0.47789026227964593</v>
      </c>
      <c r="K16" s="189">
        <f t="shared" si="3"/>
        <v>0.47789026227964593</v>
      </c>
      <c r="L16" s="189">
        <f t="shared" si="4"/>
        <v>0.47789026227964593</v>
      </c>
      <c r="M16" s="189">
        <f t="shared" si="5"/>
        <v>0.47789026227964593</v>
      </c>
    </row>
    <row r="17" spans="2:14" x14ac:dyDescent="0.3">
      <c r="B17" s="8" t="s">
        <v>128</v>
      </c>
      <c r="C17" s="13">
        <f>'Raw Data'!C22/'Raw Data'!C10</f>
        <v>4.1642998492756003E-2</v>
      </c>
      <c r="D17" s="13">
        <f>'Raw Data'!D22/'Raw Data'!D10</f>
        <v>3.9175285866331906E-2</v>
      </c>
      <c r="E17" s="13">
        <f>'Raw Data'!E22/'Raw Data'!E10</f>
        <v>3.6709724485953436E-2</v>
      </c>
      <c r="F17" s="13">
        <f>'Raw Data'!F22/'Raw Data'!F10</f>
        <v>3.4587657714067237E-2</v>
      </c>
      <c r="G17" s="13">
        <f>'Raw Data'!G22/'Raw Data'!G10</f>
        <v>3.3150272500453007E-2</v>
      </c>
      <c r="H17" s="13">
        <f>'Raw Data'!H22/'Raw Data'!H10</f>
        <v>3.2599152836952028E-2</v>
      </c>
      <c r="I17" s="189">
        <f t="shared" si="1"/>
        <v>3.6310848649418942E-2</v>
      </c>
      <c r="J17" s="189">
        <f t="shared" si="2"/>
        <v>3.6310848649418942E-2</v>
      </c>
      <c r="K17" s="189">
        <f t="shared" si="3"/>
        <v>3.6310848649418942E-2</v>
      </c>
      <c r="L17" s="189">
        <f t="shared" si="4"/>
        <v>3.6310848649418942E-2</v>
      </c>
      <c r="M17" s="189">
        <f t="shared" si="5"/>
        <v>3.6310848649418942E-2</v>
      </c>
    </row>
    <row r="18" spans="2:14" x14ac:dyDescent="0.3">
      <c r="B18" s="8" t="s">
        <v>129</v>
      </c>
      <c r="C18" s="13">
        <f>'Raw Data'!C23/'Raw Data'!C10</f>
        <v>0.14253401552358785</v>
      </c>
      <c r="D18" s="13">
        <f>'Raw Data'!D23/'Raw Data'!D10</f>
        <v>0.11236343458050196</v>
      </c>
      <c r="E18" s="13">
        <f>'Raw Data'!E23/'Raw Data'!E10</f>
        <v>8.6870967163497348E-2</v>
      </c>
      <c r="F18" s="13">
        <f>'Raw Data'!F23/'Raw Data'!F10</f>
        <v>8.2071871465063645E-2</v>
      </c>
      <c r="G18" s="13">
        <f>'Raw Data'!G23/'Raw Data'!G10</f>
        <v>8.2067240009478265E-2</v>
      </c>
      <c r="H18" s="13">
        <f>'Raw Data'!H23/'Raw Data'!H10</f>
        <v>8.6572479428886254E-2</v>
      </c>
      <c r="I18" s="189">
        <f t="shared" si="1"/>
        <v>9.8746668028502557E-2</v>
      </c>
      <c r="J18" s="189">
        <f t="shared" si="2"/>
        <v>9.8746668028502557E-2</v>
      </c>
      <c r="K18" s="189">
        <f t="shared" si="3"/>
        <v>9.8746668028502557E-2</v>
      </c>
      <c r="L18" s="189">
        <f t="shared" si="4"/>
        <v>9.8746668028502557E-2</v>
      </c>
      <c r="M18" s="189">
        <f t="shared" si="5"/>
        <v>9.8746668028502557E-2</v>
      </c>
    </row>
    <row r="19" spans="2:14" x14ac:dyDescent="0.3">
      <c r="B19" s="8" t="s">
        <v>130</v>
      </c>
      <c r="C19" s="13">
        <f>'Raw Data'!C30/'Raw Data'!C10</f>
        <v>3.8119943811584248E-2</v>
      </c>
      <c r="D19" s="13">
        <f>'Raw Data'!D30/'Raw Data'!D10</f>
        <v>3.8267123931507309E-2</v>
      </c>
      <c r="E19" s="13">
        <f>'Raw Data'!E30/'Raw Data'!E10</f>
        <v>3.662572917836545E-2</v>
      </c>
      <c r="F19" s="13">
        <f>'Raw Data'!F30/'Raw Data'!F10</f>
        <v>3.2712385110857979E-2</v>
      </c>
      <c r="G19" s="13">
        <f>'Raw Data'!G30/'Raw Data'!G10</f>
        <v>3.4257000682993463E-2</v>
      </c>
      <c r="H19" s="13">
        <f>'Raw Data'!H30/'Raw Data'!H10</f>
        <v>3.0980667480947077E-2</v>
      </c>
      <c r="I19" s="189">
        <f t="shared" si="1"/>
        <v>3.5160475032709256E-2</v>
      </c>
      <c r="J19" s="189">
        <f t="shared" si="2"/>
        <v>3.5160475032709256E-2</v>
      </c>
      <c r="K19" s="189">
        <f t="shared" si="3"/>
        <v>3.5160475032709256E-2</v>
      </c>
      <c r="L19" s="189">
        <f t="shared" si="4"/>
        <v>3.5160475032709256E-2</v>
      </c>
      <c r="M19" s="189">
        <f t="shared" si="5"/>
        <v>3.5160475032709256E-2</v>
      </c>
    </row>
    <row r="20" spans="2:14" x14ac:dyDescent="0.3">
      <c r="B20" s="8" t="s">
        <v>131</v>
      </c>
      <c r="C20" s="13">
        <f>'Raw Data'!C31/'Raw Data'!C10</f>
        <v>0.14091398455843904</v>
      </c>
      <c r="D20" s="13">
        <f>'Raw Data'!D31/'Raw Data'!D10</f>
        <v>0.14848068601855138</v>
      </c>
      <c r="E20" s="13">
        <f>'Raw Data'!E31/'Raw Data'!E10</f>
        <v>0.12759736613365824</v>
      </c>
      <c r="F20" s="13">
        <f>'Raw Data'!F31/'Raw Data'!F10</f>
        <v>0.12956083474565874</v>
      </c>
      <c r="G20" s="13">
        <f>'Raw Data'!G31/'Raw Data'!G10</f>
        <v>0.12255481371004837</v>
      </c>
      <c r="H20" s="13">
        <f>'Raw Data'!H31/'Raw Data'!H10</f>
        <v>0.12001728399471863</v>
      </c>
      <c r="I20" s="189">
        <f t="shared" si="1"/>
        <v>0.13152082819351241</v>
      </c>
      <c r="J20" s="189">
        <f t="shared" si="2"/>
        <v>0.13152082819351241</v>
      </c>
      <c r="K20" s="189">
        <f t="shared" si="3"/>
        <v>0.13152082819351241</v>
      </c>
      <c r="L20" s="189">
        <f t="shared" si="4"/>
        <v>0.13152082819351241</v>
      </c>
      <c r="M20" s="189">
        <f t="shared" si="5"/>
        <v>0.13152082819351241</v>
      </c>
    </row>
    <row r="21" spans="2:14" x14ac:dyDescent="0.3">
      <c r="B21" s="8" t="s">
        <v>132</v>
      </c>
      <c r="C21" s="13">
        <f>'Raw Data'!C32/'Raw Data'!C10</f>
        <v>1.9715161644228898E-2</v>
      </c>
      <c r="D21" s="13">
        <f>'Raw Data'!D32/'Raw Data'!D10</f>
        <v>8.3265865543517489E-3</v>
      </c>
      <c r="E21" s="13">
        <f>'Raw Data'!E32/'Raw Data'!E10</f>
        <v>8.4155748063153152E-3</v>
      </c>
      <c r="F21" s="13">
        <f>'Raw Data'!F32/'Raw Data'!F10</f>
        <v>1.0600950064237388E-2</v>
      </c>
      <c r="G21" s="13">
        <f>'Raw Data'!G32/'Raw Data'!G10</f>
        <v>1.0724391229806392E-2</v>
      </c>
      <c r="H21" s="13">
        <f>'Raw Data'!H32/'Raw Data'!H10</f>
        <v>7.1272434501491394E-3</v>
      </c>
      <c r="I21" s="189">
        <f t="shared" si="1"/>
        <v>1.0818317958181481E-2</v>
      </c>
      <c r="J21" s="189">
        <f t="shared" si="2"/>
        <v>1.0818317958181481E-2</v>
      </c>
      <c r="K21" s="189">
        <f t="shared" si="3"/>
        <v>1.0818317958181481E-2</v>
      </c>
      <c r="L21" s="189">
        <f t="shared" si="4"/>
        <v>1.0818317958181481E-2</v>
      </c>
      <c r="M21" s="189">
        <f t="shared" si="5"/>
        <v>1.0818317958181481E-2</v>
      </c>
    </row>
    <row r="22" spans="2:14" x14ac:dyDescent="0.3">
      <c r="B22" s="8" t="s">
        <v>133</v>
      </c>
      <c r="C22" s="13">
        <f>'Raw Data'!C38/'Raw Data'!C91</f>
        <v>7.7855017143115782E-2</v>
      </c>
      <c r="D22" s="13">
        <f>'Raw Data'!D38/'Raw Data'!D91</f>
        <v>7.2834616982053194E-2</v>
      </c>
      <c r="E22" s="13">
        <f>'Raw Data'!E38/'Raw Data'!E91</f>
        <v>7.6787124849606064E-2</v>
      </c>
      <c r="F22" s="13">
        <f>'Raw Data'!F38/'Raw Data'!F91</f>
        <v>6.0878225930532617E-2</v>
      </c>
      <c r="G22" s="13">
        <f>'Raw Data'!G38/'Raw Data'!G91</f>
        <v>6.0931079672580865E-2</v>
      </c>
      <c r="H22" s="13">
        <f>'Raw Data'!H38/'Raw Data'!H91</f>
        <v>6.3986255735506717E-2</v>
      </c>
      <c r="I22" s="189">
        <f>AVERAGE(D22:H22)</f>
        <v>6.7083460634055889E-2</v>
      </c>
      <c r="J22" s="189">
        <f>AVERAGE(D22:H22)</f>
        <v>6.7083460634055889E-2</v>
      </c>
      <c r="K22" s="189">
        <f>AVERAGE(D22:H22)</f>
        <v>6.7083460634055889E-2</v>
      </c>
      <c r="L22" s="189">
        <f>AVERAGE(D22:H22)</f>
        <v>6.7083460634055889E-2</v>
      </c>
      <c r="M22" s="189">
        <f>AVERAGE(D22:H22)</f>
        <v>6.7083460634055889E-2</v>
      </c>
    </row>
    <row r="23" spans="2:14" x14ac:dyDescent="0.3">
      <c r="B23" s="8" t="s">
        <v>134</v>
      </c>
      <c r="C23" s="13">
        <f>'Raw Data'!C36/('Raw Data'!C72+'Raw Data'!C81)</f>
        <v>9.6509890381444766E-2</v>
      </c>
      <c r="D23" s="13">
        <f>'Raw Data'!D36/('Raw Data'!D72+'Raw Data'!D81)</f>
        <v>4.9332193239580602E-2</v>
      </c>
      <c r="E23" s="13">
        <f>'Raw Data'!E36/('Raw Data'!E72+'Raw Data'!E81)</f>
        <v>4.4967380503189942E-2</v>
      </c>
      <c r="F23" s="13">
        <f>'Raw Data'!F36/('Raw Data'!F72+'Raw Data'!F81)</f>
        <v>5.1353855268050516E-2</v>
      </c>
      <c r="G23" s="13">
        <f>'Raw Data'!G36/('Raw Data'!G72+'Raw Data'!G81)</f>
        <v>0.42523510594800007</v>
      </c>
      <c r="H23" s="13">
        <f>'Raw Data'!H36/('Raw Data'!H72+'Raw Data'!H81)</f>
        <v>8.8334618555056241E-2</v>
      </c>
      <c r="I23" s="189">
        <f>AVERAGE(C23:H23)</f>
        <v>0.12595550731588701</v>
      </c>
      <c r="J23" s="189">
        <f>AVERAGE(C23:H23)</f>
        <v>0.12595550731588701</v>
      </c>
      <c r="K23" s="189">
        <f>AVERAGE(C23:H23)</f>
        <v>0.12595550731588701</v>
      </c>
      <c r="L23" s="189">
        <f>AVERAGE(C23:H23)</f>
        <v>0.12595550731588701</v>
      </c>
      <c r="M23" s="189">
        <f>AVERAGE(C23:H23)</f>
        <v>0.12595550731588701</v>
      </c>
    </row>
    <row r="24" spans="2:14" x14ac:dyDescent="0.3">
      <c r="B24" s="8" t="s">
        <v>135</v>
      </c>
      <c r="C24" s="13">
        <f>'Raw Data'!C40/'Raw Data'!C39</f>
        <v>0.14027037694888495</v>
      </c>
      <c r="D24" s="13">
        <f>'Raw Data'!D40/'Raw Data'!D39</f>
        <v>0.17129106569043182</v>
      </c>
      <c r="E24" s="13">
        <f>'Raw Data'!E40/'Raw Data'!E39</f>
        <v>0.23461561294152566</v>
      </c>
      <c r="F24" s="13">
        <f>'Raw Data'!F40/'Raw Data'!F39</f>
        <v>0.25293476792108643</v>
      </c>
      <c r="G24" s="13">
        <f>'Raw Data'!G40/'Raw Data'!G39</f>
        <v>0.22363954995863108</v>
      </c>
      <c r="H24" s="13">
        <f>'Raw Data'!H40/'Raw Data'!H39</f>
        <v>0.21549142736188526</v>
      </c>
      <c r="I24" s="189">
        <f>AVERAGE(C24:H24)</f>
        <v>0.20637380013707418</v>
      </c>
      <c r="J24" s="189">
        <f>AVERAGE(C24:H24)</f>
        <v>0.20637380013707418</v>
      </c>
      <c r="K24" s="189">
        <f>AVERAGE(C24:H24)</f>
        <v>0.20637380013707418</v>
      </c>
      <c r="L24" s="189">
        <f>AVERAGE(C24:H24)</f>
        <v>0.20637380013707418</v>
      </c>
      <c r="M24" s="189">
        <f>AVERAGE(C24:H24)</f>
        <v>0.20637380013707418</v>
      </c>
    </row>
    <row r="25" spans="2:14" x14ac:dyDescent="0.3">
      <c r="B25" s="8" t="s">
        <v>136</v>
      </c>
      <c r="C25" s="13">
        <f>'Raw Data'!C49/'Raw Data'!C43</f>
        <v>0.31872985028485623</v>
      </c>
      <c r="D25" s="13">
        <f>'Raw Data'!D49/'Raw Data'!D43</f>
        <v>0.22116897178696196</v>
      </c>
      <c r="E25" s="13">
        <f>'Raw Data'!E49/'Raw Data'!E43</f>
        <v>0.127846008502598</v>
      </c>
      <c r="F25" s="13">
        <f>'Raw Data'!F49/'Raw Data'!F43</f>
        <v>0.12807512689211492</v>
      </c>
      <c r="G25" s="13">
        <f>'Raw Data'!G49/'Raw Data'!G43</f>
        <v>0</v>
      </c>
      <c r="H25" s="13">
        <f>'Raw Data'!H49/'Raw Data'!H43</f>
        <v>0.1895211907466077</v>
      </c>
      <c r="I25" s="189">
        <f>AVERAGE(F25:H25)</f>
        <v>0.10586543921290754</v>
      </c>
      <c r="J25" s="189">
        <f>AVERAGE(F25:H25)</f>
        <v>0.10586543921290754</v>
      </c>
      <c r="K25" s="189">
        <f>AVERAGE(F25:H25)</f>
        <v>0.10586543921290754</v>
      </c>
      <c r="L25" s="189">
        <f>AVERAGE(F25:H25)</f>
        <v>0.10586543921290754</v>
      </c>
      <c r="M25" s="189">
        <f>AVERAGE(F25:H25)</f>
        <v>0.10586543921290754</v>
      </c>
    </row>
    <row r="27" spans="2:14" ht="19.5" customHeight="1" x14ac:dyDescent="0.3">
      <c r="B27" s="253" t="s">
        <v>137</v>
      </c>
      <c r="C27" s="253"/>
      <c r="D27" s="253"/>
      <c r="E27" s="253"/>
      <c r="F27" s="253"/>
      <c r="G27" s="253"/>
      <c r="H27" s="253"/>
      <c r="I27" s="253"/>
      <c r="J27" s="253"/>
      <c r="K27" s="253"/>
      <c r="L27" s="253"/>
      <c r="M27" s="253"/>
      <c r="N27" s="253"/>
    </row>
    <row r="28" spans="2:14" x14ac:dyDescent="0.3">
      <c r="C28" s="250" t="s">
        <v>2</v>
      </c>
      <c r="D28" s="250"/>
      <c r="E28" s="250"/>
      <c r="F28" s="250"/>
      <c r="G28" s="250"/>
      <c r="H28" s="250"/>
      <c r="I28" s="254" t="s">
        <v>116</v>
      </c>
      <c r="J28" s="254"/>
      <c r="K28" s="254"/>
      <c r="L28" s="254"/>
      <c r="M28" s="254"/>
    </row>
    <row r="29" spans="2:14" x14ac:dyDescent="0.3">
      <c r="B29" s="9" t="s">
        <v>117</v>
      </c>
      <c r="C29" s="2" t="s">
        <v>3</v>
      </c>
      <c r="D29" s="2" t="s">
        <v>4</v>
      </c>
      <c r="E29" s="2" t="s">
        <v>5</v>
      </c>
      <c r="F29" s="2" t="s">
        <v>6</v>
      </c>
      <c r="G29" s="2" t="s">
        <v>7</v>
      </c>
      <c r="H29" s="2" t="s">
        <v>8</v>
      </c>
      <c r="I29" s="1" t="s">
        <v>118</v>
      </c>
      <c r="J29" s="1" t="s">
        <v>119</v>
      </c>
      <c r="K29" s="1" t="s">
        <v>120</v>
      </c>
      <c r="L29" s="1" t="s">
        <v>121</v>
      </c>
      <c r="M29" s="1" t="s">
        <v>122</v>
      </c>
    </row>
    <row r="31" spans="2:14" x14ac:dyDescent="0.3">
      <c r="B31" s="8" t="s">
        <v>138</v>
      </c>
      <c r="C31" s="14">
        <f>'Raw Data'!C106/'Raw Data'!C15*365</f>
        <v>111.7071313001113</v>
      </c>
      <c r="D31" s="14">
        <f>'Raw Data'!D106/'Raw Data'!D15*365</f>
        <v>121.4225923799778</v>
      </c>
      <c r="E31" s="14">
        <f>'Raw Data'!E106/'Raw Data'!E15*365</f>
        <v>93.296116670161609</v>
      </c>
      <c r="F31" s="14">
        <f>'Raw Data'!F106/'Raw Data'!F15*365</f>
        <v>92.626090304202933</v>
      </c>
      <c r="G31" s="14">
        <f>'Raw Data'!G106/'Raw Data'!G15*365</f>
        <v>93.886672637597982</v>
      </c>
      <c r="H31" s="14">
        <f>'Raw Data'!H106/'Raw Data'!H15*365</f>
        <v>89.812298382611402</v>
      </c>
      <c r="I31" s="190">
        <f>AVERAGE(C31:H31)</f>
        <v>100.45848361244384</v>
      </c>
      <c r="J31" s="190">
        <f>AVERAGE(C31:H31)</f>
        <v>100.45848361244384</v>
      </c>
      <c r="K31" s="190">
        <f>AVERAGE(C31:H31)</f>
        <v>100.45848361244384</v>
      </c>
      <c r="L31" s="190">
        <f>AVERAGE(C31:H31)</f>
        <v>100.45848361244384</v>
      </c>
      <c r="M31" s="190">
        <f>AVERAGE(C31:H31)</f>
        <v>100.45848361244384</v>
      </c>
    </row>
    <row r="32" spans="2:14" x14ac:dyDescent="0.3">
      <c r="B32" s="8" t="s">
        <v>139</v>
      </c>
      <c r="C32" s="14">
        <f>'Raw Data'!C107/'Raw Data'!C10*365</f>
        <v>12.764090680720608</v>
      </c>
      <c r="D32" s="14">
        <f>'Raw Data'!D107/'Raw Data'!D10*365</f>
        <v>7.308588573837052</v>
      </c>
      <c r="E32" s="14">
        <f>'Raw Data'!E107/'Raw Data'!E10*365</f>
        <v>5.1753944712212263</v>
      </c>
      <c r="F32" s="14">
        <f>'Raw Data'!F107/'Raw Data'!F10*365</f>
        <v>6.1524693991765904</v>
      </c>
      <c r="G32" s="14">
        <f>'Raw Data'!G107/'Raw Data'!G10*365</f>
        <v>5.081499240344006</v>
      </c>
      <c r="H32" s="14">
        <f>'Raw Data'!H107/'Raw Data'!H10*365</f>
        <v>6.6749915160041819</v>
      </c>
      <c r="I32" s="190">
        <f>AVERAGE(C32:H32)</f>
        <v>7.1928389802172781</v>
      </c>
      <c r="J32" s="190">
        <f>AVERAGE(C32:H32)</f>
        <v>7.1928389802172781</v>
      </c>
      <c r="K32" s="190">
        <f>AVERAGE(C32:H32)</f>
        <v>7.1928389802172781</v>
      </c>
      <c r="L32" s="190">
        <f>AVERAGE(C32:H32)</f>
        <v>7.1928389802172781</v>
      </c>
      <c r="M32" s="190">
        <f>AVERAGE(C32:H32)</f>
        <v>7.1928389802172781</v>
      </c>
    </row>
    <row r="33" spans="2:13" x14ac:dyDescent="0.3">
      <c r="B33" s="8" t="s">
        <v>140</v>
      </c>
      <c r="C33" s="14">
        <f>'Raw Data'!C83/'Raw Data'!C15*365</f>
        <v>44.756220676849303</v>
      </c>
      <c r="D33" s="14">
        <f>'Raw Data'!D83/'Raw Data'!D15*365</f>
        <v>52.776983938800214</v>
      </c>
      <c r="E33" s="14">
        <f>'Raw Data'!E83/'Raw Data'!E15*365</f>
        <v>37.667125489964135</v>
      </c>
      <c r="F33" s="14">
        <f>'Raw Data'!F83/'Raw Data'!F15*365</f>
        <v>29.663362639432538</v>
      </c>
      <c r="G33" s="14">
        <f>'Raw Data'!G83/'Raw Data'!G15*365</f>
        <v>31.013497046521472</v>
      </c>
      <c r="H33" s="14">
        <f>'Raw Data'!H83/'Raw Data'!H15*365</f>
        <v>24.249423420617436</v>
      </c>
      <c r="I33" s="190">
        <f>AVERAGE(C33:H33)</f>
        <v>36.687768868697518</v>
      </c>
      <c r="J33" s="190">
        <f>AVERAGE(C33:H33)</f>
        <v>36.687768868697518</v>
      </c>
      <c r="K33" s="190">
        <f>AVERAGE(C33:H33)</f>
        <v>36.687768868697518</v>
      </c>
      <c r="L33" s="190">
        <f>AVERAGE(C33:H33)</f>
        <v>36.687768868697518</v>
      </c>
      <c r="M33" s="190">
        <f>AVERAGE(C33:H33)</f>
        <v>36.687768868697518</v>
      </c>
    </row>
    <row r="34" spans="2:13" x14ac:dyDescent="0.3">
      <c r="B34" s="8" t="s">
        <v>141</v>
      </c>
      <c r="C34" s="12" t="s">
        <v>125</v>
      </c>
      <c r="D34" s="13">
        <f>('Raw Data'!D91-'Raw Data'!C91+'Raw Data'!D38)/'Raw Data'!D10</f>
        <v>8.8992288962269628E-2</v>
      </c>
      <c r="E34" s="13">
        <f>('Raw Data'!E91-'Raw Data'!D91+'Raw Data'!E38)/'Raw Data'!E10</f>
        <v>0.12130998704207223</v>
      </c>
      <c r="F34" s="13">
        <f>('Raw Data'!F91-'Raw Data'!E91+'Raw Data'!F38)/'Raw Data'!F10</f>
        <v>0.21695297094950211</v>
      </c>
      <c r="G34" s="13">
        <f>('Raw Data'!G91-'Raw Data'!F91+'Raw Data'!G38)/'Raw Data'!G10</f>
        <v>0.15644940969850715</v>
      </c>
      <c r="H34" s="13">
        <f>('Raw Data'!H91-'Raw Data'!G91+'Raw Data'!H38)/'Raw Data'!H10</f>
        <v>0.10572089233774966</v>
      </c>
      <c r="I34" s="189">
        <f>AVERAGE(D34:H34)</f>
        <v>0.13788510979802016</v>
      </c>
      <c r="J34" s="189">
        <f>AVERAGE(D34:H34)</f>
        <v>0.13788510979802016</v>
      </c>
      <c r="K34" s="189">
        <f>AVERAGE(D34:H34)</f>
        <v>0.13788510979802016</v>
      </c>
      <c r="L34" s="189">
        <f>AVERAGE(D34:H34)</f>
        <v>0.13788510979802016</v>
      </c>
      <c r="M34" s="189">
        <f>AVERAGE(D34:H34)</f>
        <v>0.13788510979802016</v>
      </c>
    </row>
    <row r="35" spans="2:13" x14ac:dyDescent="0.3">
      <c r="B35" s="8" t="s">
        <v>142</v>
      </c>
      <c r="C35" s="192">
        <f>'Raw Data'!C72</f>
        <v>1954.35</v>
      </c>
      <c r="D35" s="192">
        <f>'Raw Data'!D72</f>
        <v>1712.44</v>
      </c>
      <c r="E35" s="192">
        <f>'Raw Data'!E72</f>
        <v>1653.26</v>
      </c>
      <c r="F35" s="192">
        <f>'Raw Data'!F72</f>
        <v>3010.55</v>
      </c>
      <c r="G35" s="192">
        <f>'Raw Data'!G72</f>
        <v>144.21</v>
      </c>
      <c r="H35" s="192">
        <f>'Raw Data'!H72</f>
        <v>266.39</v>
      </c>
      <c r="I35" s="191">
        <f>MAX(H35*0.85,0)</f>
        <v>226.43149999999997</v>
      </c>
      <c r="J35" s="191">
        <f>MAX(I35*0.85,0)</f>
        <v>192.46677499999998</v>
      </c>
      <c r="K35" s="191">
        <f>MAX(J35*0.85,0)</f>
        <v>163.59675874999999</v>
      </c>
      <c r="L35" s="191">
        <f>MAX(K35*0.85,0)</f>
        <v>139.0572449375</v>
      </c>
      <c r="M35" s="191">
        <f>MAX(L35*0.85,0)</f>
        <v>118.198658196875</v>
      </c>
    </row>
    <row r="36" spans="2:13" x14ac:dyDescent="0.3">
      <c r="B36" s="8" t="s">
        <v>143</v>
      </c>
      <c r="C36" s="192">
        <f>'Raw Data'!C81</f>
        <v>635.54</v>
      </c>
      <c r="D36" s="192">
        <f>'Raw Data'!D81</f>
        <v>1456.89</v>
      </c>
      <c r="E36" s="192">
        <f>'Raw Data'!E81</f>
        <v>1818.59</v>
      </c>
      <c r="F36" s="192">
        <f>'Raw Data'!F81</f>
        <v>1749.56</v>
      </c>
      <c r="G36" s="192">
        <f>'Raw Data'!G81</f>
        <v>687.33</v>
      </c>
      <c r="H36" s="192">
        <f>'Raw Data'!H81</f>
        <v>109.68</v>
      </c>
      <c r="I36" s="191">
        <f>MAX(H36*0.8,0)</f>
        <v>87.744000000000014</v>
      </c>
      <c r="J36" s="191">
        <f>MAX(I36*0.8,0)</f>
        <v>70.195200000000014</v>
      </c>
      <c r="K36" s="191">
        <f>MAX(J36*0.8,0)</f>
        <v>56.156160000000014</v>
      </c>
      <c r="L36" s="191">
        <f>MAX(K36*0.8,0)</f>
        <v>44.924928000000016</v>
      </c>
      <c r="M36" s="191">
        <f>MAX(L36*0.8,0)</f>
        <v>35.939942400000014</v>
      </c>
    </row>
  </sheetData>
  <mergeCells count="7">
    <mergeCell ref="B27:N27"/>
    <mergeCell ref="C28:H28"/>
    <mergeCell ref="I28:M28"/>
    <mergeCell ref="B1:N1"/>
    <mergeCell ref="B9:N9"/>
    <mergeCell ref="C10:H10"/>
    <mergeCell ref="I10:M10"/>
  </mergeCells>
  <dataValidations count="1">
    <dataValidation type="list" allowBlank="1" showInputMessage="1" showErrorMessage="1" sqref="C4" xr:uid="{040E9AB5-A939-4B43-B7FD-CB87512FCA1B}">
      <formula1>$K$4:$K$6</formula1>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M85"/>
  <sheetViews>
    <sheetView zoomScaleNormal="100" workbookViewId="0">
      <pane xSplit="2" ySplit="6" topLeftCell="C7" activePane="bottomRight" state="frozen"/>
      <selection pane="topRight" activeCell="C1" sqref="C1"/>
      <selection pane="bottomLeft" activeCell="A7" sqref="A7"/>
      <selection pane="bottomRight" activeCell="P79" sqref="P79"/>
    </sheetView>
  </sheetViews>
  <sheetFormatPr defaultColWidth="8.6640625" defaultRowHeight="14.4" x14ac:dyDescent="0.3"/>
  <cols>
    <col min="1" max="1" width="2" customWidth="1"/>
    <col min="2" max="2" width="42" customWidth="1"/>
    <col min="3" max="14" width="13" customWidth="1"/>
  </cols>
  <sheetData>
    <row r="1" spans="2:13" ht="27.75" customHeight="1" x14ac:dyDescent="0.3">
      <c r="B1" s="251" t="s">
        <v>144</v>
      </c>
      <c r="C1" s="251"/>
      <c r="D1" s="251"/>
      <c r="E1" s="251"/>
      <c r="F1" s="251"/>
      <c r="G1" s="251"/>
      <c r="H1" s="251"/>
      <c r="I1" s="251"/>
      <c r="J1" s="251"/>
      <c r="K1" s="251"/>
      <c r="L1" s="251"/>
      <c r="M1" s="251"/>
    </row>
    <row r="2" spans="2:13" x14ac:dyDescent="0.3">
      <c r="B2" s="252" t="s">
        <v>145</v>
      </c>
      <c r="C2" s="252"/>
      <c r="D2" s="252"/>
      <c r="E2" s="252"/>
      <c r="F2" s="252"/>
      <c r="G2" s="252"/>
      <c r="H2" s="252"/>
      <c r="I2" s="252"/>
      <c r="J2" s="252"/>
      <c r="K2" s="252"/>
      <c r="L2" s="252"/>
      <c r="M2" s="252"/>
    </row>
    <row r="4" spans="2:13" ht="19.5" customHeight="1" x14ac:dyDescent="0.3">
      <c r="B4" s="253" t="s">
        <v>146</v>
      </c>
      <c r="C4" s="253"/>
      <c r="D4" s="253"/>
      <c r="E4" s="253"/>
      <c r="F4" s="253"/>
      <c r="G4" s="253"/>
      <c r="H4" s="253"/>
      <c r="I4" s="253"/>
      <c r="J4" s="253"/>
      <c r="K4" s="253"/>
      <c r="L4" s="253"/>
      <c r="M4" s="253"/>
    </row>
    <row r="5" spans="2:13" x14ac:dyDescent="0.3">
      <c r="C5" s="250" t="s">
        <v>2</v>
      </c>
      <c r="D5" s="250"/>
      <c r="E5" s="250"/>
      <c r="F5" s="250"/>
      <c r="G5" s="250"/>
      <c r="H5" s="250"/>
      <c r="I5" s="254" t="s">
        <v>116</v>
      </c>
      <c r="J5" s="254"/>
      <c r="K5" s="254"/>
      <c r="L5" s="254"/>
      <c r="M5" s="254"/>
    </row>
    <row r="6" spans="2:13" x14ac:dyDescent="0.3">
      <c r="B6" s="9" t="s">
        <v>147</v>
      </c>
      <c r="C6" s="2" t="s">
        <v>3</v>
      </c>
      <c r="D6" s="2" t="s">
        <v>4</v>
      </c>
      <c r="E6" s="2" t="s">
        <v>5</v>
      </c>
      <c r="F6" s="2" t="s">
        <v>6</v>
      </c>
      <c r="G6" s="2" t="s">
        <v>7</v>
      </c>
      <c r="H6" s="2" t="s">
        <v>8</v>
      </c>
      <c r="I6" s="1" t="s">
        <v>118</v>
      </c>
      <c r="J6" s="1" t="s">
        <v>119</v>
      </c>
      <c r="K6" s="1" t="s">
        <v>120</v>
      </c>
      <c r="L6" s="1" t="s">
        <v>121</v>
      </c>
      <c r="M6" s="1" t="s">
        <v>122</v>
      </c>
    </row>
    <row r="8" spans="2:13" x14ac:dyDescent="0.3">
      <c r="B8" s="4" t="s">
        <v>148</v>
      </c>
      <c r="C8" s="15">
        <f>'Raw Data'!C10</f>
        <v>4876.45</v>
      </c>
      <c r="D8" s="15">
        <f>'Raw Data'!D10</f>
        <v>6595.74</v>
      </c>
      <c r="E8" s="15">
        <f>'Raw Data'!E10</f>
        <v>10595.83</v>
      </c>
      <c r="F8" s="15">
        <f>'Raw Data'!F10</f>
        <v>12632.83</v>
      </c>
      <c r="G8" s="15">
        <f>'Raw Data'!G10</f>
        <v>14348.6</v>
      </c>
      <c r="H8" s="15">
        <f>'Raw Data'!H10</f>
        <v>14556.82</v>
      </c>
      <c r="I8" s="16">
        <f>Assumptions!I13</f>
        <v>16303.638400000002</v>
      </c>
      <c r="J8" s="16">
        <f>Assumptions!J13</f>
        <v>18260.075008000003</v>
      </c>
      <c r="K8" s="16">
        <f>Assumptions!K13</f>
        <v>20451.284008960007</v>
      </c>
      <c r="L8" s="16">
        <f>Assumptions!L13</f>
        <v>22905.438090035208</v>
      </c>
      <c r="M8" s="16">
        <f>Assumptions!M13</f>
        <v>25654.090660839436</v>
      </c>
    </row>
    <row r="9" spans="2:13" x14ac:dyDescent="0.3">
      <c r="B9" s="5" t="s">
        <v>15</v>
      </c>
      <c r="C9" s="10">
        <f>'Raw Data'!C11</f>
        <v>71.989999999999995</v>
      </c>
      <c r="D9" s="10">
        <f>'Raw Data'!D11</f>
        <v>57.3</v>
      </c>
      <c r="E9" s="10">
        <f>'Raw Data'!E11</f>
        <v>143.76</v>
      </c>
      <c r="F9" s="10">
        <f>'Raw Data'!F11</f>
        <v>146.13999999999999</v>
      </c>
      <c r="G9" s="10">
        <f>'Raw Data'!G11</f>
        <v>353.94</v>
      </c>
      <c r="H9" s="10">
        <f>'Raw Data'!H11</f>
        <v>513.92999999999995</v>
      </c>
      <c r="I9" s="17">
        <f>I8*Assumptions!I15</f>
        <v>294.98282311256531</v>
      </c>
      <c r="J9" s="17">
        <f>J8*Assumptions!J15</f>
        <v>330.38076188607317</v>
      </c>
      <c r="K9" s="17">
        <f>K8*Assumptions!K15</f>
        <v>370.026453312402</v>
      </c>
      <c r="L9" s="17">
        <f>L8*Assumptions!L15</f>
        <v>414.42962770989027</v>
      </c>
      <c r="M9" s="17">
        <f>M8*Assumptions!M15</f>
        <v>464.1611830350771</v>
      </c>
    </row>
    <row r="10" spans="2:13" x14ac:dyDescent="0.3">
      <c r="B10" s="196" t="s">
        <v>16</v>
      </c>
      <c r="C10" s="192">
        <f>'Raw Data'!C12</f>
        <v>3.14</v>
      </c>
      <c r="D10" s="192">
        <f>'Raw Data'!D12</f>
        <v>76.069999999999993</v>
      </c>
      <c r="E10" s="192">
        <f>'Raw Data'!E12</f>
        <v>302.35000000000002</v>
      </c>
      <c r="F10" s="192">
        <f>'Raw Data'!F12</f>
        <v>61.82</v>
      </c>
      <c r="G10" s="192">
        <f>'Raw Data'!G12</f>
        <v>-38.840000000000003</v>
      </c>
      <c r="H10" s="192">
        <f>'Raw Data'!H12</f>
        <v>-12.97</v>
      </c>
      <c r="I10" s="192">
        <f>0</f>
        <v>0</v>
      </c>
      <c r="J10" s="192">
        <f>0</f>
        <v>0</v>
      </c>
      <c r="K10" s="192">
        <f>0</f>
        <v>0</v>
      </c>
      <c r="L10" s="192">
        <f>0</f>
        <v>0</v>
      </c>
      <c r="M10" s="192">
        <f>0</f>
        <v>0</v>
      </c>
    </row>
    <row r="11" spans="2:13" x14ac:dyDescent="0.3">
      <c r="B11" s="198" t="s">
        <v>17</v>
      </c>
      <c r="C11" s="193">
        <f>'Raw Data'!C13</f>
        <v>4951.58</v>
      </c>
      <c r="D11" s="193">
        <f>'Raw Data'!D13</f>
        <v>6729.11</v>
      </c>
      <c r="E11" s="193">
        <f>'Raw Data'!E13</f>
        <v>11041.94</v>
      </c>
      <c r="F11" s="193">
        <f>'Raw Data'!F13</f>
        <v>12840.79</v>
      </c>
      <c r="G11" s="193">
        <f>'Raw Data'!G13</f>
        <v>14663.7</v>
      </c>
      <c r="H11" s="193">
        <f>'Raw Data'!H13</f>
        <v>15057.78</v>
      </c>
      <c r="I11" s="193">
        <f>I8+I9+I10</f>
        <v>16598.621223112568</v>
      </c>
      <c r="J11" s="193">
        <f>J8+J9+J10</f>
        <v>18590.455769886077</v>
      </c>
      <c r="K11" s="193">
        <f>K8+K9+K10</f>
        <v>20821.310462272409</v>
      </c>
      <c r="L11" s="193">
        <f>L8+L9+L10</f>
        <v>23319.867717745099</v>
      </c>
      <c r="M11" s="193">
        <f>M8+M9+M10</f>
        <v>26118.251843874514</v>
      </c>
    </row>
    <row r="12" spans="2:13" x14ac:dyDescent="0.3">
      <c r="B12" s="77"/>
      <c r="C12" s="77"/>
      <c r="D12" s="77"/>
      <c r="E12" s="77"/>
      <c r="F12" s="77"/>
      <c r="G12" s="77"/>
      <c r="H12" s="77"/>
      <c r="I12" s="77"/>
      <c r="J12" s="77"/>
      <c r="K12" s="77"/>
      <c r="L12" s="77"/>
      <c r="M12" s="77"/>
    </row>
    <row r="13" spans="2:13" x14ac:dyDescent="0.3">
      <c r="B13" s="204" t="s">
        <v>149</v>
      </c>
      <c r="C13" s="77"/>
      <c r="D13" s="77"/>
      <c r="E13" s="77"/>
      <c r="F13" s="77"/>
      <c r="G13" s="77"/>
      <c r="H13" s="77"/>
      <c r="I13" s="77"/>
      <c r="J13" s="77"/>
      <c r="K13" s="77"/>
      <c r="L13" s="77"/>
      <c r="M13" s="77"/>
    </row>
    <row r="14" spans="2:13" x14ac:dyDescent="0.3">
      <c r="B14" s="196" t="s">
        <v>150</v>
      </c>
      <c r="C14" s="192">
        <f>'Raw Data'!C15</f>
        <v>2218.81</v>
      </c>
      <c r="D14" s="192">
        <f>'Raw Data'!D15</f>
        <v>3205.24</v>
      </c>
      <c r="E14" s="192">
        <f>'Raw Data'!E15</f>
        <v>5579.49</v>
      </c>
      <c r="F14" s="192">
        <f>'Raw Data'!F15</f>
        <v>6052.21</v>
      </c>
      <c r="G14" s="192">
        <f>'Raw Data'!G15</f>
        <v>6565.14</v>
      </c>
      <c r="H14" s="192">
        <f>'Raw Data'!H15</f>
        <v>6742.35</v>
      </c>
      <c r="I14" s="192">
        <f>I8*Assumptions!I16</f>
        <v>7791.3500310885074</v>
      </c>
      <c r="J14" s="192">
        <f>J8*Assumptions!J16</f>
        <v>8726.3120348191296</v>
      </c>
      <c r="K14" s="192">
        <f>K8*Assumptions!K16</f>
        <v>9773.4694789974255</v>
      </c>
      <c r="L14" s="192">
        <f>L8*Assumptions!L16</f>
        <v>10946.285816477117</v>
      </c>
      <c r="M14" s="192">
        <f>M8*Assumptions!M16</f>
        <v>12259.840114454373</v>
      </c>
    </row>
    <row r="15" spans="2:13" x14ac:dyDescent="0.3">
      <c r="B15" s="196" t="s">
        <v>26</v>
      </c>
      <c r="C15" s="192">
        <f>'Raw Data'!C22</f>
        <v>203.07</v>
      </c>
      <c r="D15" s="192">
        <f>'Raw Data'!D22</f>
        <v>258.39</v>
      </c>
      <c r="E15" s="192">
        <f>'Raw Data'!E22</f>
        <v>388.97</v>
      </c>
      <c r="F15" s="192">
        <f>'Raw Data'!F22</f>
        <v>436.94</v>
      </c>
      <c r="G15" s="192">
        <f>'Raw Data'!G22</f>
        <v>475.66</v>
      </c>
      <c r="H15" s="192">
        <f>'Raw Data'!H22</f>
        <v>474.54</v>
      </c>
      <c r="I15" s="192">
        <f>I8*Assumptions!I17</f>
        <v>591.99894637725481</v>
      </c>
      <c r="J15" s="192">
        <f>J8*Assumptions!J17</f>
        <v>663.03881994252549</v>
      </c>
      <c r="K15" s="192">
        <f>K8*Assumptions!K17</f>
        <v>742.60347833562867</v>
      </c>
      <c r="L15" s="192">
        <f>L8*Assumptions!L17</f>
        <v>831.71589573590416</v>
      </c>
      <c r="M15" s="192">
        <f>M8*Assumptions!M17</f>
        <v>931.5218032242127</v>
      </c>
    </row>
    <row r="16" spans="2:13" x14ac:dyDescent="0.3">
      <c r="B16" s="196" t="s">
        <v>27</v>
      </c>
      <c r="C16" s="192">
        <f>'Raw Data'!C23</f>
        <v>695.06</v>
      </c>
      <c r="D16" s="192">
        <f>'Raw Data'!D23</f>
        <v>741.12</v>
      </c>
      <c r="E16" s="192">
        <f>'Raw Data'!E23</f>
        <v>920.47</v>
      </c>
      <c r="F16" s="192">
        <f>'Raw Data'!F23</f>
        <v>1036.8</v>
      </c>
      <c r="G16" s="192">
        <f>'Raw Data'!G23</f>
        <v>1177.55</v>
      </c>
      <c r="H16" s="192">
        <f>'Raw Data'!H23</f>
        <v>1260.22</v>
      </c>
      <c r="I16" s="192">
        <f>I8*Assumptions!I18</f>
        <v>1609.9299687415466</v>
      </c>
      <c r="J16" s="192">
        <f>J8*Assumptions!J18</f>
        <v>1803.1215649905325</v>
      </c>
      <c r="K16" s="192">
        <f>K8*Assumptions!K18</f>
        <v>2019.4961527893968</v>
      </c>
      <c r="L16" s="192">
        <f>L8*Assumptions!L18</f>
        <v>2261.8356911241244</v>
      </c>
      <c r="M16" s="192">
        <f>M8*Assumptions!M18</f>
        <v>2533.2559740590195</v>
      </c>
    </row>
    <row r="17" spans="2:13" x14ac:dyDescent="0.3">
      <c r="B17" s="196" t="s">
        <v>34</v>
      </c>
      <c r="C17" s="192">
        <f>'Raw Data'!C30</f>
        <v>185.89</v>
      </c>
      <c r="D17" s="192">
        <f>'Raw Data'!D30</f>
        <v>252.4</v>
      </c>
      <c r="E17" s="192">
        <f>'Raw Data'!E30</f>
        <v>388.08</v>
      </c>
      <c r="F17" s="192">
        <f>'Raw Data'!F30</f>
        <v>413.25</v>
      </c>
      <c r="G17" s="192">
        <f>'Raw Data'!G30</f>
        <v>491.54</v>
      </c>
      <c r="H17" s="192">
        <f>'Raw Data'!H30</f>
        <v>450.98</v>
      </c>
      <c r="I17" s="192">
        <f>I8*Assumptions!I19</f>
        <v>573.24367090551993</v>
      </c>
      <c r="J17" s="192">
        <f>J8*Assumptions!J19</f>
        <v>642.03291141418242</v>
      </c>
      <c r="K17" s="192">
        <f>K8*Assumptions!K19</f>
        <v>719.0768607838844</v>
      </c>
      <c r="L17" s="192">
        <f>L8*Assumptions!L19</f>
        <v>805.36608407795052</v>
      </c>
      <c r="M17" s="192">
        <f>M8*Assumptions!M19</f>
        <v>902.01001416730469</v>
      </c>
    </row>
    <row r="18" spans="2:13" x14ac:dyDescent="0.3">
      <c r="B18" s="196" t="s">
        <v>151</v>
      </c>
      <c r="C18" s="192">
        <f>'Raw Data'!C31</f>
        <v>687.16</v>
      </c>
      <c r="D18" s="192">
        <f>'Raw Data'!D31</f>
        <v>979.34</v>
      </c>
      <c r="E18" s="192">
        <f>'Raw Data'!E31</f>
        <v>1352</v>
      </c>
      <c r="F18" s="192">
        <f>'Raw Data'!F31</f>
        <v>1636.72</v>
      </c>
      <c r="G18" s="192">
        <f>'Raw Data'!G31</f>
        <v>1758.49</v>
      </c>
      <c r="H18" s="192">
        <f>'Raw Data'!H31</f>
        <v>1747.07</v>
      </c>
      <c r="I18" s="192">
        <f>I8*Assumptions!I20</f>
        <v>2144.2680249355517</v>
      </c>
      <c r="J18" s="192">
        <f>J8*Assumptions!J20</f>
        <v>2401.5801879278183</v>
      </c>
      <c r="K18" s="192">
        <f>K8*Assumptions!K20</f>
        <v>2689.7698104791566</v>
      </c>
      <c r="L18" s="192">
        <f>L8*Assumptions!L20</f>
        <v>3012.5421877366557</v>
      </c>
      <c r="M18" s="192">
        <f>M8*Assumptions!M20</f>
        <v>3374.0472502650546</v>
      </c>
    </row>
    <row r="19" spans="2:13" x14ac:dyDescent="0.3">
      <c r="B19" s="196" t="s">
        <v>36</v>
      </c>
      <c r="C19" s="192">
        <f>'Raw Data'!C32</f>
        <v>96.14</v>
      </c>
      <c r="D19" s="192">
        <f>'Raw Data'!D32</f>
        <v>54.92</v>
      </c>
      <c r="E19" s="192">
        <f>'Raw Data'!E32</f>
        <v>89.17</v>
      </c>
      <c r="F19" s="192">
        <f>'Raw Data'!F32</f>
        <v>133.91999999999999</v>
      </c>
      <c r="G19" s="192">
        <f>'Raw Data'!G32</f>
        <v>153.88</v>
      </c>
      <c r="H19" s="192">
        <f>'Raw Data'!H32</f>
        <v>103.75</v>
      </c>
      <c r="I19" s="192">
        <f>I8*Assumptions!I21</f>
        <v>176.37794408641722</v>
      </c>
      <c r="J19" s="192">
        <f>J8*Assumptions!J21</f>
        <v>197.54329737678728</v>
      </c>
      <c r="K19" s="192">
        <f>K8*Assumptions!K21</f>
        <v>221.24849306200178</v>
      </c>
      <c r="L19" s="192">
        <f>L8*Assumptions!L21</f>
        <v>247.79831222944202</v>
      </c>
      <c r="M19" s="192">
        <f>M8*Assumptions!M21</f>
        <v>277.53410969697512</v>
      </c>
    </row>
    <row r="20" spans="2:13" x14ac:dyDescent="0.3">
      <c r="B20" s="198" t="s">
        <v>152</v>
      </c>
      <c r="C20" s="193">
        <f>'Raw Data'!C34</f>
        <v>4086.13</v>
      </c>
      <c r="D20" s="193">
        <f>'Raw Data'!D34</f>
        <v>5491.4</v>
      </c>
      <c r="E20" s="193">
        <f>'Raw Data'!E34</f>
        <v>8718.17</v>
      </c>
      <c r="F20" s="193">
        <f>'Raw Data'!F34</f>
        <v>9709.83</v>
      </c>
      <c r="G20" s="193">
        <f>'Raw Data'!G34</f>
        <v>10622.25</v>
      </c>
      <c r="H20" s="193">
        <f>'Raw Data'!H34</f>
        <v>10778.91</v>
      </c>
      <c r="I20" s="193">
        <f>I14+I15+I16+I17+I18+I19</f>
        <v>12887.168586134798</v>
      </c>
      <c r="J20" s="193">
        <f>J14+J15+J16+J17+J18+J19</f>
        <v>14433.628816470975</v>
      </c>
      <c r="K20" s="193">
        <f>K14+K15+K16+K17+K18+K19</f>
        <v>16165.664274447492</v>
      </c>
      <c r="L20" s="193">
        <f>L14+L15+L16+L17+L18+L19</f>
        <v>18105.543987381196</v>
      </c>
      <c r="M20" s="193">
        <f>M14+M15+M16+M17+M18+M19</f>
        <v>20278.209265866943</v>
      </c>
    </row>
    <row r="21" spans="2:13" x14ac:dyDescent="0.3">
      <c r="B21" s="77"/>
      <c r="C21" s="77"/>
      <c r="D21" s="77"/>
      <c r="E21" s="77"/>
      <c r="F21" s="77"/>
      <c r="G21" s="77"/>
      <c r="H21" s="77"/>
      <c r="I21" s="77"/>
      <c r="J21" s="77"/>
      <c r="K21" s="77"/>
      <c r="L21" s="77"/>
      <c r="M21" s="77"/>
    </row>
    <row r="22" spans="2:13" x14ac:dyDescent="0.3">
      <c r="B22" s="198" t="s">
        <v>153</v>
      </c>
      <c r="C22" s="193">
        <f>'Raw Data'!C35</f>
        <v>865.45</v>
      </c>
      <c r="D22" s="193">
        <f>'Raw Data'!D35</f>
        <v>1237.71</v>
      </c>
      <c r="E22" s="193">
        <f>'Raw Data'!E35</f>
        <v>2323.75</v>
      </c>
      <c r="F22" s="193">
        <f>'Raw Data'!F35</f>
        <v>3130.94</v>
      </c>
      <c r="G22" s="193">
        <f>'Raw Data'!G35</f>
        <v>4041.45</v>
      </c>
      <c r="H22" s="193">
        <f>'Raw Data'!H35</f>
        <v>4278.8900000000003</v>
      </c>
      <c r="I22" s="193">
        <f>I11-I20</f>
        <v>3711.4526369777705</v>
      </c>
      <c r="J22" s="193">
        <f>J11-J20</f>
        <v>4156.8269534151023</v>
      </c>
      <c r="K22" s="193">
        <f>K11-K20</f>
        <v>4655.6461878249174</v>
      </c>
      <c r="L22" s="193">
        <f>L11-L20</f>
        <v>5214.3237303639035</v>
      </c>
      <c r="M22" s="193">
        <f>M11-M20</f>
        <v>5840.0425780075711</v>
      </c>
    </row>
    <row r="23" spans="2:13" x14ac:dyDescent="0.3">
      <c r="B23" s="206" t="s">
        <v>154</v>
      </c>
      <c r="C23" s="226">
        <f t="shared" ref="C23:M23" si="0">C22/C8</f>
        <v>0.17747541756810797</v>
      </c>
      <c r="D23" s="226">
        <f t="shared" si="0"/>
        <v>0.18765293962466684</v>
      </c>
      <c r="E23" s="226">
        <f t="shared" si="0"/>
        <v>0.2193079730422251</v>
      </c>
      <c r="F23" s="226">
        <f t="shared" si="0"/>
        <v>0.2478415366944699</v>
      </c>
      <c r="G23" s="226">
        <f t="shared" si="0"/>
        <v>0.28166162552444141</v>
      </c>
      <c r="H23" s="226">
        <f t="shared" si="0"/>
        <v>0.29394400700152923</v>
      </c>
      <c r="I23" s="227">
        <f t="shared" si="0"/>
        <v>0.22764566693148505</v>
      </c>
      <c r="J23" s="227">
        <f t="shared" si="0"/>
        <v>0.227645666931485</v>
      </c>
      <c r="K23" s="227">
        <f t="shared" si="0"/>
        <v>0.22764566693148511</v>
      </c>
      <c r="L23" s="227">
        <f t="shared" si="0"/>
        <v>0.22764566693148494</v>
      </c>
      <c r="M23" s="227">
        <f t="shared" si="0"/>
        <v>0.22764566693148489</v>
      </c>
    </row>
    <row r="24" spans="2:13" x14ac:dyDescent="0.3">
      <c r="B24" s="77"/>
      <c r="C24" s="77"/>
      <c r="D24" s="77"/>
      <c r="E24" s="77"/>
      <c r="F24" s="77"/>
      <c r="G24" s="77"/>
      <c r="H24" s="77"/>
      <c r="I24" s="77"/>
      <c r="J24" s="77"/>
      <c r="K24" s="77"/>
      <c r="L24" s="77"/>
      <c r="M24" s="77"/>
    </row>
    <row r="25" spans="2:13" x14ac:dyDescent="0.3">
      <c r="B25" s="196" t="s">
        <v>42</v>
      </c>
      <c r="C25" s="192">
        <f>'Raw Data'!C38</f>
        <v>412.82</v>
      </c>
      <c r="D25" s="192">
        <f>'Raw Data'!D38</f>
        <v>399.83</v>
      </c>
      <c r="E25" s="192">
        <f>'Raw Data'!E38</f>
        <v>483.13</v>
      </c>
      <c r="F25" s="192">
        <f>'Raw Data'!F38</f>
        <v>518.33000000000004</v>
      </c>
      <c r="G25" s="192">
        <f>'Raw Data'!G38</f>
        <v>617.91</v>
      </c>
      <c r="H25" s="192">
        <f>'Raw Data'!H38</f>
        <v>702.42</v>
      </c>
      <c r="I25" s="192">
        <f>'PPE Schedule'!I21</f>
        <v>839.65885587604305</v>
      </c>
      <c r="J25" s="192">
        <f>'PPE Schedule'!J21</f>
        <v>990.46441884904118</v>
      </c>
      <c r="K25" s="192">
        <f>'PPE Schedule'!K21</f>
        <v>1159.3666493787991</v>
      </c>
      <c r="L25" s="192">
        <f>'PPE Schedule'!L21</f>
        <v>1348.5371475721281</v>
      </c>
      <c r="M25" s="192">
        <f>'PPE Schedule'!M21</f>
        <v>1560.4081055486565</v>
      </c>
    </row>
    <row r="26" spans="2:13" x14ac:dyDescent="0.3">
      <c r="B26" s="198" t="s">
        <v>155</v>
      </c>
      <c r="C26" s="193">
        <f>'Raw Data'!C37</f>
        <v>615.5</v>
      </c>
      <c r="D26" s="193">
        <f>'Raw Data'!D37</f>
        <v>1081.3599999999999</v>
      </c>
      <c r="E26" s="193">
        <f>'Raw Data'!E37</f>
        <v>2167.63</v>
      </c>
      <c r="F26" s="193">
        <f>'Raw Data'!F37</f>
        <v>2886.49</v>
      </c>
      <c r="G26" s="193">
        <f>'Raw Data'!G37</f>
        <v>3687.85</v>
      </c>
      <c r="H26" s="193">
        <f>'Raw Data'!H37</f>
        <v>4245.67</v>
      </c>
      <c r="I26" s="193">
        <f>I22-I25</f>
        <v>2871.7937811017273</v>
      </c>
      <c r="J26" s="193">
        <f>J22-J25</f>
        <v>3166.3625345660612</v>
      </c>
      <c r="K26" s="193">
        <f>K22-K25</f>
        <v>3496.2795384461183</v>
      </c>
      <c r="L26" s="193">
        <f>L22-L25</f>
        <v>3865.7865827917753</v>
      </c>
      <c r="M26" s="193">
        <f>M22-M25</f>
        <v>4279.6344724589144</v>
      </c>
    </row>
    <row r="27" spans="2:13" x14ac:dyDescent="0.3">
      <c r="B27" s="206" t="s">
        <v>156</v>
      </c>
      <c r="C27" s="226">
        <f t="shared" ref="C27:M27" si="1">C26/C8</f>
        <v>0.12621886823406372</v>
      </c>
      <c r="D27" s="226">
        <f t="shared" si="1"/>
        <v>0.16394824538262576</v>
      </c>
      <c r="E27" s="226">
        <f t="shared" si="1"/>
        <v>0.20457387481679115</v>
      </c>
      <c r="F27" s="226">
        <f t="shared" si="1"/>
        <v>0.22849116152121099</v>
      </c>
      <c r="G27" s="226">
        <f t="shared" si="1"/>
        <v>0.25701810629608463</v>
      </c>
      <c r="H27" s="226">
        <f t="shared" si="1"/>
        <v>0.29166191517103324</v>
      </c>
      <c r="I27" s="227">
        <f t="shared" si="1"/>
        <v>0.17614434953989944</v>
      </c>
      <c r="J27" s="227">
        <f t="shared" si="1"/>
        <v>0.1734035886040354</v>
      </c>
      <c r="K27" s="227">
        <f t="shared" si="1"/>
        <v>0.17095648062558552</v>
      </c>
      <c r="L27" s="227">
        <f t="shared" si="1"/>
        <v>0.16877156278768354</v>
      </c>
      <c r="M27" s="227">
        <f t="shared" si="1"/>
        <v>0.1668207432895569</v>
      </c>
    </row>
    <row r="28" spans="2:13" x14ac:dyDescent="0.3">
      <c r="B28" s="77"/>
      <c r="C28" s="77"/>
      <c r="D28" s="77"/>
      <c r="E28" s="77"/>
      <c r="F28" s="77"/>
      <c r="G28" s="77"/>
      <c r="H28" s="77"/>
      <c r="I28" s="77"/>
      <c r="J28" s="77"/>
      <c r="K28" s="77"/>
      <c r="L28" s="77"/>
      <c r="M28" s="77"/>
    </row>
    <row r="29" spans="2:13" x14ac:dyDescent="0.3">
      <c r="B29" s="196" t="s">
        <v>157</v>
      </c>
      <c r="C29" s="192">
        <f>'Raw Data'!C36</f>
        <v>249.95</v>
      </c>
      <c r="D29" s="192">
        <f>'Raw Data'!D36</f>
        <v>156.35</v>
      </c>
      <c r="E29" s="192">
        <f>'Raw Data'!E36</f>
        <v>156.12</v>
      </c>
      <c r="F29" s="192">
        <f>'Raw Data'!F36</f>
        <v>244.45</v>
      </c>
      <c r="G29" s="192">
        <f>'Raw Data'!G36</f>
        <v>353.6</v>
      </c>
      <c r="H29" s="192">
        <f>'Raw Data'!H36</f>
        <v>33.22</v>
      </c>
      <c r="I29" s="192">
        <f>(Assumptions!I35+Assumptions!I36)*Assumptions!I23</f>
        <v>39.572134488722455</v>
      </c>
      <c r="J29" s="192">
        <f>(Assumptions!J35+Assumptions!J36)*Assumptions!J23</f>
        <v>33.083722313717828</v>
      </c>
      <c r="K29" s="192">
        <f>(Assumptions!K35+Assumptions!K36)*Assumptions!K23</f>
        <v>27.679090365303146</v>
      </c>
      <c r="L29" s="192">
        <f>(Assumptions!L35+Assumptions!L36)*Assumptions!L23</f>
        <v>23.173567929422074</v>
      </c>
      <c r="M29" s="192">
        <f>(Assumptions!M35+Assumptions!M36)*Assumptions!M23</f>
        <v>19.414605635140276</v>
      </c>
    </row>
    <row r="30" spans="2:13" x14ac:dyDescent="0.3">
      <c r="B30" s="198" t="s">
        <v>43</v>
      </c>
      <c r="C30" s="193">
        <f>'Raw Data'!C39</f>
        <v>202.68</v>
      </c>
      <c r="D30" s="193">
        <f>'Raw Data'!D39</f>
        <v>681.53</v>
      </c>
      <c r="E30" s="193">
        <f>'Raw Data'!E39</f>
        <v>1684.5</v>
      </c>
      <c r="F30" s="193">
        <f>'Raw Data'!F39</f>
        <v>2368.16</v>
      </c>
      <c r="G30" s="193">
        <f>'Raw Data'!G39</f>
        <v>3069.94</v>
      </c>
      <c r="H30" s="193">
        <f>'Raw Data'!H39</f>
        <v>3543.25</v>
      </c>
      <c r="I30" s="193">
        <f>I26-I29</f>
        <v>2832.2216466130049</v>
      </c>
      <c r="J30" s="193">
        <f>J26-J29</f>
        <v>3133.2788122523434</v>
      </c>
      <c r="K30" s="193">
        <f>K26-K29</f>
        <v>3468.6004480808151</v>
      </c>
      <c r="L30" s="193">
        <f>L26-L29</f>
        <v>3842.6130148623533</v>
      </c>
      <c r="M30" s="193">
        <f>M26-M29</f>
        <v>4260.2198668237743</v>
      </c>
    </row>
    <row r="31" spans="2:13" x14ac:dyDescent="0.3">
      <c r="B31" s="196" t="s">
        <v>158</v>
      </c>
      <c r="C31" s="192">
        <f>'Raw Data'!C40</f>
        <v>28.43</v>
      </c>
      <c r="D31" s="192">
        <f>'Raw Data'!D40</f>
        <v>116.74</v>
      </c>
      <c r="E31" s="192">
        <f>'Raw Data'!E40</f>
        <v>395.21</v>
      </c>
      <c r="F31" s="192">
        <f>'Raw Data'!F40</f>
        <v>598.99</v>
      </c>
      <c r="G31" s="192">
        <f>'Raw Data'!G40</f>
        <v>686.56</v>
      </c>
      <c r="H31" s="192">
        <f>'Raw Data'!H40</f>
        <v>763.54</v>
      </c>
      <c r="I31" s="192">
        <f>I30*Assumptions!I24</f>
        <v>584.49634404200742</v>
      </c>
      <c r="J31" s="192">
        <f>J30*Assumptions!J24</f>
        <v>646.62665537349426</v>
      </c>
      <c r="K31" s="192">
        <f>K30*Assumptions!K24</f>
        <v>715.82825562759604</v>
      </c>
      <c r="L31" s="192">
        <f>L30*Assumptions!L24</f>
        <v>793.0146503333234</v>
      </c>
      <c r="M31" s="192">
        <f>M30*Assumptions!M24</f>
        <v>879.19776333588243</v>
      </c>
    </row>
    <row r="32" spans="2:13" x14ac:dyDescent="0.3">
      <c r="B32" s="198" t="s">
        <v>159</v>
      </c>
      <c r="C32" s="193">
        <f>'Raw Data'!C43</f>
        <v>226.43</v>
      </c>
      <c r="D32" s="193">
        <f>'Raw Data'!D43</f>
        <v>489.49</v>
      </c>
      <c r="E32" s="193">
        <f>'Raw Data'!E43</f>
        <v>1270.2</v>
      </c>
      <c r="F32" s="193">
        <f>'Raw Data'!F43</f>
        <v>1775.13</v>
      </c>
      <c r="G32" s="193">
        <f>'Raw Data'!G43</f>
        <v>2320.36</v>
      </c>
      <c r="H32" s="193">
        <f>'Raw Data'!H43</f>
        <v>2676.64</v>
      </c>
      <c r="I32" s="193">
        <f>I30-I31</f>
        <v>2247.7253025709974</v>
      </c>
      <c r="J32" s="193">
        <f>J30-J31</f>
        <v>2486.6521568788494</v>
      </c>
      <c r="K32" s="193">
        <f>K30-K31</f>
        <v>2752.7721924532188</v>
      </c>
      <c r="L32" s="193">
        <f>L30-L31</f>
        <v>3049.5983645290298</v>
      </c>
      <c r="M32" s="193">
        <f>M30-M31</f>
        <v>3381.0221034878919</v>
      </c>
    </row>
    <row r="33" spans="2:13" x14ac:dyDescent="0.3">
      <c r="B33" s="206" t="s">
        <v>160</v>
      </c>
      <c r="C33" s="226">
        <f t="shared" ref="C33:M33" si="2">C32/C8</f>
        <v>4.6433368536537852E-2</v>
      </c>
      <c r="D33" s="226">
        <f t="shared" si="2"/>
        <v>7.4213052667327709E-2</v>
      </c>
      <c r="E33" s="226">
        <f t="shared" si="2"/>
        <v>0.11987734797557152</v>
      </c>
      <c r="F33" s="226">
        <f t="shared" si="2"/>
        <v>0.14051720794153014</v>
      </c>
      <c r="G33" s="226">
        <f t="shared" si="2"/>
        <v>0.16171333788662309</v>
      </c>
      <c r="H33" s="226">
        <f t="shared" si="2"/>
        <v>0.18387532441838259</v>
      </c>
      <c r="I33" s="227">
        <f t="shared" si="2"/>
        <v>0.13786648399727738</v>
      </c>
      <c r="J33" s="227">
        <f t="shared" si="2"/>
        <v>0.13617973397093994</v>
      </c>
      <c r="K33" s="227">
        <f t="shared" si="2"/>
        <v>0.13460143584369516</v>
      </c>
      <c r="L33" s="227">
        <f t="shared" si="2"/>
        <v>0.13313861767419016</v>
      </c>
      <c r="M33" s="227">
        <f t="shared" si="2"/>
        <v>0.13179270893623873</v>
      </c>
    </row>
    <row r="34" spans="2:13" x14ac:dyDescent="0.3">
      <c r="B34" s="196" t="s">
        <v>161</v>
      </c>
      <c r="C34" s="192">
        <f>'Raw Data'!C49</f>
        <v>72.17</v>
      </c>
      <c r="D34" s="192">
        <f>'Raw Data'!D49</f>
        <v>108.26</v>
      </c>
      <c r="E34" s="192">
        <f>'Raw Data'!E49</f>
        <v>162.38999999999999</v>
      </c>
      <c r="F34" s="192">
        <f>'Raw Data'!F49</f>
        <v>227.35</v>
      </c>
      <c r="G34" s="192">
        <f>'Raw Data'!G49</f>
        <v>0</v>
      </c>
      <c r="H34" s="192">
        <f>'Raw Data'!H49</f>
        <v>507.28</v>
      </c>
      <c r="I34" s="192">
        <f>I32*Assumptions!I25</f>
        <v>237.95642638664415</v>
      </c>
      <c r="J34" s="192">
        <f>J32*Assumptions!J25</f>
        <v>263.25052275770327</v>
      </c>
      <c r="K34" s="192">
        <f>K32*Assumptions!K25</f>
        <v>291.42343720713848</v>
      </c>
      <c r="L34" s="192">
        <f>L32*Assumptions!L25</f>
        <v>322.84707028383025</v>
      </c>
      <c r="M34" s="192">
        <f>M32*Assumptions!M25</f>
        <v>357.93338997429424</v>
      </c>
    </row>
    <row r="35" spans="2:13" x14ac:dyDescent="0.3">
      <c r="B35" s="198" t="s">
        <v>162</v>
      </c>
      <c r="C35" s="193">
        <f t="shared" ref="C35:M35" si="3">C32-C34</f>
        <v>154.26</v>
      </c>
      <c r="D35" s="193">
        <f t="shared" si="3"/>
        <v>381.23</v>
      </c>
      <c r="E35" s="193">
        <f t="shared" si="3"/>
        <v>1107.81</v>
      </c>
      <c r="F35" s="193">
        <f t="shared" si="3"/>
        <v>1547.7800000000002</v>
      </c>
      <c r="G35" s="193">
        <f t="shared" si="3"/>
        <v>2320.36</v>
      </c>
      <c r="H35" s="193">
        <f t="shared" si="3"/>
        <v>2169.3599999999997</v>
      </c>
      <c r="I35" s="193">
        <f t="shared" si="3"/>
        <v>2009.7688761843533</v>
      </c>
      <c r="J35" s="193">
        <f t="shared" si="3"/>
        <v>2223.4016341211463</v>
      </c>
      <c r="K35" s="193">
        <f t="shared" si="3"/>
        <v>2461.3487552460801</v>
      </c>
      <c r="L35" s="193">
        <f t="shared" si="3"/>
        <v>2726.7512942451995</v>
      </c>
      <c r="M35" s="193">
        <f t="shared" si="3"/>
        <v>3023.0887135135977</v>
      </c>
    </row>
    <row r="36" spans="2:13" x14ac:dyDescent="0.3">
      <c r="B36" s="77"/>
      <c r="C36" s="77"/>
      <c r="D36" s="77"/>
      <c r="E36" s="77"/>
      <c r="F36" s="77"/>
      <c r="G36" s="77"/>
      <c r="H36" s="77"/>
      <c r="I36" s="77"/>
      <c r="J36" s="77"/>
      <c r="K36" s="77"/>
      <c r="L36" s="77"/>
      <c r="M36" s="77"/>
    </row>
    <row r="37" spans="2:13" x14ac:dyDescent="0.3">
      <c r="B37" s="204" t="s">
        <v>163</v>
      </c>
      <c r="C37" s="192">
        <f>'Raw Data'!C55</f>
        <v>7.84</v>
      </c>
      <c r="D37" s="192">
        <f>'Raw Data'!D55</f>
        <v>11.3</v>
      </c>
      <c r="E37" s="192">
        <f>'Raw Data'!E55</f>
        <v>19.559999999999999</v>
      </c>
      <c r="F37" s="192">
        <f>'Raw Data'!F55</f>
        <v>13.66</v>
      </c>
      <c r="G37" s="192">
        <f>'Raw Data'!G55</f>
        <v>6.86</v>
      </c>
      <c r="H37" s="192">
        <f>'Raw Data'!H55</f>
        <v>7.91</v>
      </c>
      <c r="I37" s="192">
        <f>I32/'Raw Data'!H43*'Raw Data'!H55</f>
        <v>6.642472332228686</v>
      </c>
      <c r="J37" s="192">
        <f>J32/'Raw Data'!H43*'Raw Data'!H55</f>
        <v>7.3485483893656598</v>
      </c>
      <c r="K37" s="192">
        <f>K32/'Raw Data'!H43*'Raw Data'!H55</f>
        <v>8.1349856694605798</v>
      </c>
      <c r="L37" s="192">
        <f>L32/'Raw Data'!H43*'Raw Data'!H55</f>
        <v>9.0121656492560192</v>
      </c>
      <c r="M37" s="192">
        <f>M32/'Raw Data'!H43*'Raw Data'!H55</f>
        <v>9.9915882743249842</v>
      </c>
    </row>
    <row r="38" spans="2:13" x14ac:dyDescent="0.3">
      <c r="B38" s="77"/>
      <c r="C38" s="77"/>
      <c r="D38" s="77"/>
      <c r="E38" s="77"/>
      <c r="F38" s="77"/>
      <c r="G38" s="77"/>
      <c r="H38" s="77"/>
      <c r="I38" s="77"/>
      <c r="J38" s="77"/>
      <c r="K38" s="77"/>
      <c r="L38" s="77"/>
      <c r="M38" s="77"/>
    </row>
    <row r="39" spans="2:13" x14ac:dyDescent="0.3">
      <c r="B39" s="77"/>
      <c r="C39" s="77"/>
      <c r="D39" s="77"/>
      <c r="E39" s="77"/>
      <c r="F39" s="77"/>
      <c r="G39" s="77"/>
      <c r="H39" s="77"/>
      <c r="I39" s="77"/>
      <c r="J39" s="77"/>
      <c r="K39" s="77"/>
      <c r="L39" s="77"/>
      <c r="M39" s="77"/>
    </row>
    <row r="40" spans="2:13" ht="19.5" customHeight="1" x14ac:dyDescent="0.3">
      <c r="B40" s="253" t="s">
        <v>164</v>
      </c>
      <c r="C40" s="253"/>
      <c r="D40" s="253"/>
      <c r="E40" s="253"/>
      <c r="F40" s="253"/>
      <c r="G40" s="253"/>
      <c r="H40" s="253"/>
      <c r="I40" s="253"/>
      <c r="J40" s="253"/>
      <c r="K40" s="253"/>
      <c r="L40" s="253"/>
      <c r="M40" s="253"/>
    </row>
    <row r="41" spans="2:13" x14ac:dyDescent="0.3">
      <c r="C41" s="250" t="s">
        <v>2</v>
      </c>
      <c r="D41" s="250"/>
      <c r="E41" s="250"/>
      <c r="F41" s="250"/>
      <c r="G41" s="250"/>
      <c r="H41" s="250"/>
      <c r="I41" s="254" t="s">
        <v>116</v>
      </c>
      <c r="J41" s="254"/>
      <c r="K41" s="254"/>
      <c r="L41" s="254"/>
      <c r="M41" s="254"/>
    </row>
    <row r="42" spans="2:13" x14ac:dyDescent="0.3">
      <c r="B42" s="9" t="s">
        <v>147</v>
      </c>
      <c r="C42" s="2" t="s">
        <v>3</v>
      </c>
      <c r="D42" s="2" t="s">
        <v>4</v>
      </c>
      <c r="E42" s="2" t="s">
        <v>5</v>
      </c>
      <c r="F42" s="2" t="s">
        <v>6</v>
      </c>
      <c r="G42" s="2" t="s">
        <v>7</v>
      </c>
      <c r="H42" s="2" t="s">
        <v>8</v>
      </c>
      <c r="I42" s="1" t="s">
        <v>118</v>
      </c>
      <c r="J42" s="1" t="s">
        <v>119</v>
      </c>
      <c r="K42" s="1" t="s">
        <v>120</v>
      </c>
      <c r="L42" s="1" t="s">
        <v>121</v>
      </c>
      <c r="M42" s="1" t="s">
        <v>122</v>
      </c>
    </row>
    <row r="44" spans="2:13" x14ac:dyDescent="0.3">
      <c r="B44" s="204" t="s">
        <v>65</v>
      </c>
      <c r="C44" s="77"/>
      <c r="D44" s="77"/>
      <c r="E44" s="77"/>
      <c r="F44" s="77"/>
      <c r="G44" s="77"/>
      <c r="H44" s="77"/>
      <c r="I44" s="77"/>
      <c r="J44" s="77"/>
      <c r="K44" s="77"/>
      <c r="L44" s="77"/>
      <c r="M44" s="77"/>
    </row>
    <row r="45" spans="2:13" x14ac:dyDescent="0.3">
      <c r="B45" s="196" t="s">
        <v>67</v>
      </c>
      <c r="C45" s="192">
        <f>'Raw Data'!C67</f>
        <v>288.69</v>
      </c>
      <c r="D45" s="192">
        <f>'Raw Data'!D67</f>
        <v>433.03</v>
      </c>
      <c r="E45" s="192">
        <f>'Raw Data'!E67</f>
        <v>649.54999999999995</v>
      </c>
      <c r="F45" s="192">
        <f>'Raw Data'!F67</f>
        <v>649.61</v>
      </c>
      <c r="G45" s="192">
        <f>'Raw Data'!G67</f>
        <v>676.3</v>
      </c>
      <c r="H45" s="192">
        <f>'Raw Data'!H67</f>
        <v>676.4</v>
      </c>
      <c r="I45" s="192">
        <f>H45</f>
        <v>676.4</v>
      </c>
      <c r="J45" s="192">
        <f>H45</f>
        <v>676.4</v>
      </c>
      <c r="K45" s="192">
        <f>H45</f>
        <v>676.4</v>
      </c>
      <c r="L45" s="192">
        <f>H45</f>
        <v>676.4</v>
      </c>
      <c r="M45" s="192">
        <f>H45</f>
        <v>676.4</v>
      </c>
    </row>
    <row r="46" spans="2:13" x14ac:dyDescent="0.3">
      <c r="B46" s="196" t="s">
        <v>165</v>
      </c>
      <c r="C46" s="192">
        <f>'Raw Data'!C68</f>
        <v>3723.08</v>
      </c>
      <c r="D46" s="192">
        <f>'Raw Data'!D68</f>
        <v>3965.59</v>
      </c>
      <c r="E46" s="192">
        <f>'Raw Data'!E68</f>
        <v>4867.8500000000004</v>
      </c>
      <c r="F46" s="192">
        <f>'Raw Data'!F68</f>
        <v>6425.85</v>
      </c>
      <c r="G46" s="192">
        <f>'Raw Data'!G68</f>
        <v>15882.4</v>
      </c>
      <c r="H46" s="192">
        <f>'Raw Data'!H68</f>
        <v>18088.13</v>
      </c>
      <c r="I46" s="192">
        <f>H46+I35</f>
        <v>20097.898876184354</v>
      </c>
      <c r="J46" s="192">
        <f>I46+J35</f>
        <v>22321.3005103055</v>
      </c>
      <c r="K46" s="192">
        <f>J46+K35</f>
        <v>24782.649265551579</v>
      </c>
      <c r="L46" s="192">
        <f>K46+L35</f>
        <v>27509.400559796777</v>
      </c>
      <c r="M46" s="192">
        <f>L46+M35</f>
        <v>30532.489273310373</v>
      </c>
    </row>
    <row r="47" spans="2:13" x14ac:dyDescent="0.3">
      <c r="B47" s="198" t="s">
        <v>166</v>
      </c>
      <c r="C47" s="193">
        <f>'Raw Data'!C69</f>
        <v>4011.77</v>
      </c>
      <c r="D47" s="193">
        <f>'Raw Data'!D69</f>
        <v>4398.62</v>
      </c>
      <c r="E47" s="193">
        <f>'Raw Data'!E69</f>
        <v>5517.4</v>
      </c>
      <c r="F47" s="193">
        <f>'Raw Data'!F69</f>
        <v>7075.45</v>
      </c>
      <c r="G47" s="193">
        <f>'Raw Data'!G69</f>
        <v>16558.71</v>
      </c>
      <c r="H47" s="193">
        <f>'Raw Data'!H69</f>
        <v>18764.53</v>
      </c>
      <c r="I47" s="193">
        <f>I45+I46</f>
        <v>20774.298876184355</v>
      </c>
      <c r="J47" s="193">
        <f>J45+J46</f>
        <v>22997.700510305502</v>
      </c>
      <c r="K47" s="193">
        <f>K45+K46</f>
        <v>25459.049265551581</v>
      </c>
      <c r="L47" s="193">
        <f>L45+L46</f>
        <v>28185.800559796779</v>
      </c>
      <c r="M47" s="193">
        <f>M45+M46</f>
        <v>31208.889273310375</v>
      </c>
    </row>
    <row r="48" spans="2:13" x14ac:dyDescent="0.3">
      <c r="B48" s="196" t="s">
        <v>72</v>
      </c>
      <c r="C48" s="192">
        <f>'Raw Data'!C72</f>
        <v>1954.35</v>
      </c>
      <c r="D48" s="192">
        <f>'Raw Data'!D72</f>
        <v>1712.44</v>
      </c>
      <c r="E48" s="192">
        <f>'Raw Data'!E72</f>
        <v>1653.26</v>
      </c>
      <c r="F48" s="192">
        <f>'Raw Data'!F72</f>
        <v>3010.55</v>
      </c>
      <c r="G48" s="192">
        <f>'Raw Data'!G72</f>
        <v>144.21</v>
      </c>
      <c r="H48" s="192">
        <f>'Raw Data'!H72</f>
        <v>266.39</v>
      </c>
      <c r="I48" s="192">
        <f>Assumptions!I35</f>
        <v>226.43149999999997</v>
      </c>
      <c r="J48" s="192">
        <f>Assumptions!J35</f>
        <v>192.46677499999998</v>
      </c>
      <c r="K48" s="192">
        <f>Assumptions!K35</f>
        <v>163.59675874999999</v>
      </c>
      <c r="L48" s="192">
        <f>Assumptions!L35</f>
        <v>139.0572449375</v>
      </c>
      <c r="M48" s="192">
        <f>Assumptions!M35</f>
        <v>118.198658196875</v>
      </c>
    </row>
    <row r="49" spans="2:13" x14ac:dyDescent="0.3">
      <c r="B49" s="196" t="s">
        <v>74</v>
      </c>
      <c r="C49" s="192">
        <f>'Raw Data'!C74</f>
        <v>220.99</v>
      </c>
      <c r="D49" s="192">
        <f>'Raw Data'!D74</f>
        <v>298.18</v>
      </c>
      <c r="E49" s="192">
        <f>'Raw Data'!E74</f>
        <v>319.98</v>
      </c>
      <c r="F49" s="192">
        <f>'Raw Data'!F74</f>
        <v>313.33</v>
      </c>
      <c r="G49" s="192">
        <f>'Raw Data'!G74</f>
        <v>383.35</v>
      </c>
      <c r="H49" s="192">
        <f>'Raw Data'!H74</f>
        <v>493.22</v>
      </c>
      <c r="I49" s="192">
        <f>H49</f>
        <v>493.22</v>
      </c>
      <c r="J49" s="192">
        <f>H49</f>
        <v>493.22</v>
      </c>
      <c r="K49" s="192">
        <f>H49</f>
        <v>493.22</v>
      </c>
      <c r="L49" s="192">
        <f>H49</f>
        <v>493.22</v>
      </c>
      <c r="M49" s="192">
        <f>H49</f>
        <v>493.22</v>
      </c>
    </row>
    <row r="50" spans="2:13" x14ac:dyDescent="0.3">
      <c r="B50" s="196" t="s">
        <v>167</v>
      </c>
      <c r="C50" s="192">
        <f>'Raw Data'!C77+'Raw Data'!C78</f>
        <v>201.84</v>
      </c>
      <c r="D50" s="192">
        <f>'Raw Data'!D77+'Raw Data'!D78</f>
        <v>200.13</v>
      </c>
      <c r="E50" s="192">
        <f>'Raw Data'!E77+'Raw Data'!E78</f>
        <v>198.25</v>
      </c>
      <c r="F50" s="192">
        <f>'Raw Data'!F77+'Raw Data'!F78</f>
        <v>212.47</v>
      </c>
      <c r="G50" s="192">
        <f>'Raw Data'!G77+'Raw Data'!G78</f>
        <v>182.42999999999998</v>
      </c>
      <c r="H50" s="192">
        <f>'Raw Data'!H77+'Raw Data'!H78</f>
        <v>173.19000000000003</v>
      </c>
      <c r="I50" s="192">
        <f>H50</f>
        <v>173.19000000000003</v>
      </c>
      <c r="J50" s="192">
        <f>H50</f>
        <v>173.19000000000003</v>
      </c>
      <c r="K50" s="192">
        <f>H50</f>
        <v>173.19000000000003</v>
      </c>
      <c r="L50" s="192">
        <f>H50</f>
        <v>173.19000000000003</v>
      </c>
      <c r="M50" s="192">
        <f>H50</f>
        <v>173.19000000000003</v>
      </c>
    </row>
    <row r="51" spans="2:13" x14ac:dyDescent="0.3">
      <c r="B51" s="198" t="s">
        <v>79</v>
      </c>
      <c r="C51" s="193">
        <f>'Raw Data'!C79</f>
        <v>2377.19</v>
      </c>
      <c r="D51" s="193">
        <f>'Raw Data'!D79</f>
        <v>2219.5100000000002</v>
      </c>
      <c r="E51" s="193">
        <f>'Raw Data'!E79</f>
        <v>2283.2399999999998</v>
      </c>
      <c r="F51" s="193">
        <f>'Raw Data'!F79</f>
        <v>3640.71</v>
      </c>
      <c r="G51" s="193">
        <f>'Raw Data'!G79</f>
        <v>751.95</v>
      </c>
      <c r="H51" s="193">
        <f>'Raw Data'!H79</f>
        <v>958.34</v>
      </c>
      <c r="I51" s="193">
        <f>I48+I49+I50</f>
        <v>892.8415</v>
      </c>
      <c r="J51" s="193">
        <f>J48+J49+J50</f>
        <v>858.87677500000007</v>
      </c>
      <c r="K51" s="193">
        <f>K48+K49+K50</f>
        <v>830.00675875000002</v>
      </c>
      <c r="L51" s="193">
        <f>L48+L49+L50</f>
        <v>805.46724493750003</v>
      </c>
      <c r="M51" s="193">
        <f>M48+M49+M50</f>
        <v>784.60865819687513</v>
      </c>
    </row>
    <row r="52" spans="2:13" x14ac:dyDescent="0.3">
      <c r="B52" s="196" t="s">
        <v>81</v>
      </c>
      <c r="C52" s="192">
        <f>'Raw Data'!C81</f>
        <v>635.54</v>
      </c>
      <c r="D52" s="192">
        <f>'Raw Data'!D81</f>
        <v>1456.89</v>
      </c>
      <c r="E52" s="192">
        <f>'Raw Data'!E81</f>
        <v>1818.59</v>
      </c>
      <c r="F52" s="192">
        <f>'Raw Data'!F81</f>
        <v>1749.56</v>
      </c>
      <c r="G52" s="192">
        <f>'Raw Data'!G81</f>
        <v>687.33</v>
      </c>
      <c r="H52" s="192">
        <f>'Raw Data'!H81</f>
        <v>109.68</v>
      </c>
      <c r="I52" s="192">
        <f>Assumptions!I36</f>
        <v>87.744000000000014</v>
      </c>
      <c r="J52" s="192">
        <f>Assumptions!J36</f>
        <v>70.195200000000014</v>
      </c>
      <c r="K52" s="192">
        <f>Assumptions!K36</f>
        <v>56.156160000000014</v>
      </c>
      <c r="L52" s="192">
        <f>Assumptions!L36</f>
        <v>44.924928000000016</v>
      </c>
      <c r="M52" s="192">
        <f>Assumptions!M36</f>
        <v>35.939942400000014</v>
      </c>
    </row>
    <row r="53" spans="2:13" x14ac:dyDescent="0.3">
      <c r="B53" s="196" t="s">
        <v>83</v>
      </c>
      <c r="C53" s="192">
        <f>'Raw Data'!C83</f>
        <v>272.07</v>
      </c>
      <c r="D53" s="192">
        <f>'Raw Data'!D83</f>
        <v>463.46</v>
      </c>
      <c r="E53" s="192">
        <f>'Raw Data'!E83</f>
        <v>575.79</v>
      </c>
      <c r="F53" s="192">
        <f>'Raw Data'!F83</f>
        <v>491.86</v>
      </c>
      <c r="G53" s="192">
        <f>'Raw Data'!G83</f>
        <v>557.83000000000004</v>
      </c>
      <c r="H53" s="192">
        <f>'Raw Data'!H83</f>
        <v>447.94</v>
      </c>
      <c r="I53" s="192">
        <f>I14*Assumptions!I33/365</f>
        <v>783.1431482621764</v>
      </c>
      <c r="J53" s="192">
        <f>J14*Assumptions!J33/365</f>
        <v>877.12032605363777</v>
      </c>
      <c r="K53" s="192">
        <f>K14*Assumptions!K33/365</f>
        <v>982.37476518007429</v>
      </c>
      <c r="L53" s="192">
        <f>L14*Assumptions!L33/365</f>
        <v>1100.2597370016831</v>
      </c>
      <c r="M53" s="192">
        <f>M14*Assumptions!M33/365</f>
        <v>1232.2909054418853</v>
      </c>
    </row>
    <row r="54" spans="2:13" x14ac:dyDescent="0.3">
      <c r="B54" s="196" t="s">
        <v>168</v>
      </c>
      <c r="C54" s="192">
        <f>'Raw Data'!C84+'Raw Data'!C85</f>
        <v>1000.01</v>
      </c>
      <c r="D54" s="192">
        <f>'Raw Data'!D84+'Raw Data'!D85</f>
        <v>519.64</v>
      </c>
      <c r="E54" s="192">
        <f>'Raw Data'!E84+'Raw Data'!E85</f>
        <v>862.56</v>
      </c>
      <c r="F54" s="192">
        <f>'Raw Data'!F84+'Raw Data'!F85</f>
        <v>1033.9000000000001</v>
      </c>
      <c r="G54" s="192">
        <f>'Raw Data'!G84+'Raw Data'!G85</f>
        <v>920.44999999999993</v>
      </c>
      <c r="H54" s="192">
        <f>'Raw Data'!H84+'Raw Data'!H85</f>
        <v>716.91</v>
      </c>
      <c r="I54" s="192">
        <f>H54*(1+Assumptions!I14)*0.85</f>
        <v>682.49832000000004</v>
      </c>
      <c r="J54" s="192">
        <f>I54*(1+Assumptions!J14)*0.85</f>
        <v>649.73840064000012</v>
      </c>
      <c r="K54" s="192">
        <f>J54*(1+Assumptions!K14)*0.85</f>
        <v>618.55095740928016</v>
      </c>
      <c r="L54" s="192">
        <f>K54*(1+Assumptions!L14)*0.85</f>
        <v>588.86051145363479</v>
      </c>
      <c r="M54" s="192">
        <f>L54*(1+Assumptions!M14)*0.85</f>
        <v>560.59520690386034</v>
      </c>
    </row>
    <row r="55" spans="2:13" x14ac:dyDescent="0.3">
      <c r="B55" s="198" t="s">
        <v>86</v>
      </c>
      <c r="C55" s="193">
        <f>'Raw Data'!C86</f>
        <v>1907.62</v>
      </c>
      <c r="D55" s="193">
        <f>'Raw Data'!D86</f>
        <v>2447.4899999999998</v>
      </c>
      <c r="E55" s="193">
        <f>'Raw Data'!E86</f>
        <v>3268.31</v>
      </c>
      <c r="F55" s="193">
        <f>'Raw Data'!F86</f>
        <v>3292.94</v>
      </c>
      <c r="G55" s="193">
        <f>'Raw Data'!G86</f>
        <v>2173.3200000000002</v>
      </c>
      <c r="H55" s="193">
        <f>'Raw Data'!H86</f>
        <v>1277.1400000000001</v>
      </c>
      <c r="I55" s="193">
        <f>I52+I53+I54</f>
        <v>1553.3854682621763</v>
      </c>
      <c r="J55" s="193">
        <f>J52+J53+J54</f>
        <v>1597.053926693638</v>
      </c>
      <c r="K55" s="193">
        <f>K52+K53+K54</f>
        <v>1657.0818825893543</v>
      </c>
      <c r="L55" s="193">
        <f>L52+L53+L54</f>
        <v>1734.0451764553177</v>
      </c>
      <c r="M55" s="193">
        <f>M52+M53+M54</f>
        <v>1828.8260547457458</v>
      </c>
    </row>
    <row r="56" spans="2:13" s="225" customFormat="1" x14ac:dyDescent="0.3">
      <c r="B56" s="207" t="s">
        <v>169</v>
      </c>
      <c r="C56" s="208">
        <f>'Raw Data'!C88</f>
        <v>8296.57</v>
      </c>
      <c r="D56" s="208">
        <f>'Raw Data'!D88</f>
        <v>9065.6200000000008</v>
      </c>
      <c r="E56" s="208">
        <f>'Raw Data'!E88</f>
        <v>11068.94</v>
      </c>
      <c r="F56" s="208">
        <f>'Raw Data'!F88</f>
        <v>14009.46</v>
      </c>
      <c r="G56" s="208">
        <f>'Raw Data'!G88</f>
        <v>19483.97</v>
      </c>
      <c r="H56" s="208">
        <f>'Raw Data'!H88</f>
        <v>21000.27</v>
      </c>
      <c r="I56" s="208">
        <f>I47+I51+I55</f>
        <v>23220.525844446529</v>
      </c>
      <c r="J56" s="208">
        <f>J47+J51+J55</f>
        <v>25453.631211999142</v>
      </c>
      <c r="K56" s="208">
        <f>K47+K51+K55</f>
        <v>27946.137906890937</v>
      </c>
      <c r="L56" s="208">
        <f>L47+L51+L55</f>
        <v>30725.312981189596</v>
      </c>
      <c r="M56" s="208">
        <f>M47+M51+M55</f>
        <v>33822.323986252995</v>
      </c>
    </row>
    <row r="58" spans="2:13" x14ac:dyDescent="0.3">
      <c r="B58" s="204" t="s">
        <v>89</v>
      </c>
      <c r="C58" s="77"/>
      <c r="D58" s="77"/>
      <c r="E58" s="77"/>
      <c r="F58" s="77"/>
      <c r="G58" s="77"/>
      <c r="H58" s="77"/>
      <c r="I58" s="77"/>
      <c r="J58" s="77"/>
      <c r="K58" s="77"/>
      <c r="L58" s="77"/>
      <c r="M58" s="77"/>
    </row>
    <row r="59" spans="2:13" x14ac:dyDescent="0.3">
      <c r="B59" s="196" t="s">
        <v>170</v>
      </c>
      <c r="C59" s="192">
        <f>'Raw Data'!C91</f>
        <v>5302.42</v>
      </c>
      <c r="D59" s="192">
        <f>'Raw Data'!D91</f>
        <v>5489.56</v>
      </c>
      <c r="E59" s="192">
        <f>'Raw Data'!E91</f>
        <v>6291.81</v>
      </c>
      <c r="F59" s="192">
        <f>'Raw Data'!F91</f>
        <v>8514.2099999999991</v>
      </c>
      <c r="G59" s="192">
        <f>'Raw Data'!G91</f>
        <v>10141.129999999999</v>
      </c>
      <c r="H59" s="192">
        <f>'Raw Data'!H91</f>
        <v>10977.67</v>
      </c>
      <c r="I59" s="192">
        <f>'PPE Schedule'!I19</f>
        <v>13925.000115015175</v>
      </c>
      <c r="J59" s="192">
        <f>'PPE Schedule'!J19</f>
        <v>16291.986999440342</v>
      </c>
      <c r="K59" s="192">
        <f>'PPE Schedule'!K19</f>
        <v>18943.012309996528</v>
      </c>
      <c r="L59" s="192">
        <f>'PPE Schedule'!L19</f>
        <v>21912.160657819455</v>
      </c>
      <c r="M59" s="192">
        <f>'PPE Schedule'!M19</f>
        <v>25237.606807381137</v>
      </c>
    </row>
    <row r="60" spans="2:13" x14ac:dyDescent="0.3">
      <c r="B60" s="196" t="s">
        <v>171</v>
      </c>
      <c r="C60" s="192">
        <f>'Raw Data'!C97+'Raw Data'!C101+'Raw Data'!C102</f>
        <v>1727.69</v>
      </c>
      <c r="D60" s="192">
        <f>'Raw Data'!D97+'Raw Data'!D101+'Raw Data'!D102</f>
        <v>1807.83</v>
      </c>
      <c r="E60" s="192">
        <f>'Raw Data'!E97+'Raw Data'!E101+'Raw Data'!E102</f>
        <v>2325.2399999999998</v>
      </c>
      <c r="F60" s="192">
        <f>'Raw Data'!F97+'Raw Data'!F101+'Raw Data'!F102</f>
        <v>2560.1200000000003</v>
      </c>
      <c r="G60" s="192">
        <f>'Raw Data'!G97+'Raw Data'!G101+'Raw Data'!G102</f>
        <v>4004.7900000000004</v>
      </c>
      <c r="H60" s="192">
        <f>'Raw Data'!H97+'Raw Data'!H101+'Raw Data'!H102</f>
        <v>4916.93</v>
      </c>
      <c r="I60" s="192">
        <f>H60*(1+Assumptions!I14)*0.6</f>
        <v>3304.1769600000002</v>
      </c>
      <c r="J60" s="192">
        <f>I60*(1+Assumptions!J14)*0.6</f>
        <v>2220.4069171200003</v>
      </c>
      <c r="K60" s="192">
        <f>J60*(1+Assumptions!K14)*0.6</f>
        <v>1492.1134483046403</v>
      </c>
      <c r="L60" s="192">
        <f>K60*(1+Assumptions!L14)*0.6</f>
        <v>1002.7002372607184</v>
      </c>
      <c r="M60" s="192">
        <f>L60*(1+Assumptions!M14)*0.6</f>
        <v>673.81455943920287</v>
      </c>
    </row>
    <row r="61" spans="2:13" x14ac:dyDescent="0.3">
      <c r="B61" s="198" t="s">
        <v>103</v>
      </c>
      <c r="C61" s="193">
        <f>'Raw Data'!C103</f>
        <v>7030.1</v>
      </c>
      <c r="D61" s="193">
        <f>'Raw Data'!D103</f>
        <v>7297.4</v>
      </c>
      <c r="E61" s="193">
        <f>'Raw Data'!E103</f>
        <v>8617.0499999999993</v>
      </c>
      <c r="F61" s="193">
        <f>'Raw Data'!F103</f>
        <v>11074.33</v>
      </c>
      <c r="G61" s="193">
        <f>'Raw Data'!G103</f>
        <v>14145.93</v>
      </c>
      <c r="H61" s="193">
        <f>'Raw Data'!H103</f>
        <v>15894.6</v>
      </c>
      <c r="I61" s="193">
        <f>I59+I60</f>
        <v>17229.177075015174</v>
      </c>
      <c r="J61" s="193">
        <f>J59+J60</f>
        <v>18512.393916560341</v>
      </c>
      <c r="K61" s="193">
        <f>K59+K60</f>
        <v>20435.125758301168</v>
      </c>
      <c r="L61" s="193">
        <f>L59+L60</f>
        <v>22914.860895080172</v>
      </c>
      <c r="M61" s="193">
        <f>M59+M60</f>
        <v>25911.421366820341</v>
      </c>
    </row>
    <row r="62" spans="2:13" x14ac:dyDescent="0.3">
      <c r="B62" s="196" t="s">
        <v>106</v>
      </c>
      <c r="C62" s="192">
        <f>'Raw Data'!C106</f>
        <v>679.06</v>
      </c>
      <c r="D62" s="192">
        <f>'Raw Data'!D106</f>
        <v>1066.27</v>
      </c>
      <c r="E62" s="192">
        <f>'Raw Data'!E106</f>
        <v>1426.15</v>
      </c>
      <c r="F62" s="192">
        <f>'Raw Data'!F106</f>
        <v>1535.87</v>
      </c>
      <c r="G62" s="192">
        <f>'Raw Data'!G106</f>
        <v>1688.71</v>
      </c>
      <c r="H62" s="192">
        <f>'Raw Data'!H106</f>
        <v>1659.03</v>
      </c>
      <c r="I62" s="192">
        <f>I14*Assumptions!I31/365</f>
        <v>2144.4033134710103</v>
      </c>
      <c r="J62" s="192">
        <f>J14*Assumptions!J31/365</f>
        <v>2401.7317110875315</v>
      </c>
      <c r="K62" s="192">
        <f>K14*Assumptions!K31/365</f>
        <v>2689.9395164180355</v>
      </c>
      <c r="L62" s="192">
        <f>L14*Assumptions!L31/365</f>
        <v>3012.7322583881996</v>
      </c>
      <c r="M62" s="192">
        <f>M14*Assumptions!M31/365</f>
        <v>3374.2601293947841</v>
      </c>
    </row>
    <row r="63" spans="2:13" x14ac:dyDescent="0.3">
      <c r="B63" s="196" t="s">
        <v>107</v>
      </c>
      <c r="C63" s="192">
        <f>'Raw Data'!C107</f>
        <v>170.53</v>
      </c>
      <c r="D63" s="192">
        <f>'Raw Data'!D107</f>
        <v>132.07</v>
      </c>
      <c r="E63" s="192">
        <f>'Raw Data'!E107</f>
        <v>150.24</v>
      </c>
      <c r="F63" s="192">
        <f>'Raw Data'!F107</f>
        <v>212.94</v>
      </c>
      <c r="G63" s="192">
        <f>'Raw Data'!G107</f>
        <v>199.76</v>
      </c>
      <c r="H63" s="192">
        <f>'Raw Data'!H107</f>
        <v>266.20999999999998</v>
      </c>
      <c r="I63" s="192">
        <f>I8*Assumptions!I32/365</f>
        <v>321.28615288462265</v>
      </c>
      <c r="J63" s="192">
        <f>J8*Assumptions!J32/365</f>
        <v>359.84049123077739</v>
      </c>
      <c r="K63" s="192">
        <f>K8*Assumptions!K32/365</f>
        <v>403.02135017847075</v>
      </c>
      <c r="L63" s="192">
        <f>L8*Assumptions!L32/365</f>
        <v>451.38391219988722</v>
      </c>
      <c r="M63" s="192">
        <f>M8*Assumptions!M32/365</f>
        <v>505.54998166387384</v>
      </c>
    </row>
    <row r="64" spans="2:13" x14ac:dyDescent="0.3">
      <c r="B64" s="196" t="s">
        <v>172</v>
      </c>
      <c r="C64" s="192">
        <f>'Raw Data'!C109+'Raw Data'!C110</f>
        <v>380.40999999999997</v>
      </c>
      <c r="D64" s="192">
        <f>'Raw Data'!D109+'Raw Data'!D110</f>
        <v>545.64</v>
      </c>
      <c r="E64" s="192">
        <f>'Raw Data'!E109+'Raw Data'!E110</f>
        <v>828.02</v>
      </c>
      <c r="F64" s="192">
        <f>'Raw Data'!F109+'Raw Data'!F110</f>
        <v>1134</v>
      </c>
      <c r="G64" s="192">
        <f>'Raw Data'!G109+'Raw Data'!G110</f>
        <v>1390.88</v>
      </c>
      <c r="H64" s="192">
        <f>'Raw Data'!H109+'Raw Data'!H110</f>
        <v>1573.86</v>
      </c>
      <c r="I64" s="192">
        <f>H64*(1+Assumptions!I14)*0.7</f>
        <v>1233.90624</v>
      </c>
      <c r="J64" s="192">
        <f>I64*(1+Assumptions!J14)*0.7</f>
        <v>967.38249215999997</v>
      </c>
      <c r="K64" s="192">
        <f>J64*(1+Assumptions!K14)*0.7</f>
        <v>758.42787385344002</v>
      </c>
      <c r="L64" s="192">
        <f>K64*(1+Assumptions!L14)*0.7</f>
        <v>594.60745310109701</v>
      </c>
      <c r="M64" s="192">
        <f>L64*(1+Assumptions!M14)*0.7</f>
        <v>466.17224323126004</v>
      </c>
    </row>
    <row r="65" spans="2:13" x14ac:dyDescent="0.3">
      <c r="B65" s="196" t="s">
        <v>173</v>
      </c>
      <c r="C65" s="192">
        <f>'Raw Data'!C108</f>
        <v>36.479999999999997</v>
      </c>
      <c r="D65" s="192">
        <f>'Raw Data'!D108</f>
        <v>24.24</v>
      </c>
      <c r="E65" s="192">
        <f>'Raw Data'!E108</f>
        <v>47.49</v>
      </c>
      <c r="F65" s="192">
        <f>'Raw Data'!F108</f>
        <v>52.31</v>
      </c>
      <c r="G65" s="192">
        <f>'Raw Data'!G108</f>
        <v>2058.71</v>
      </c>
      <c r="H65" s="192">
        <f>'Raw Data'!H108</f>
        <v>1599.94</v>
      </c>
      <c r="I65" s="192">
        <f>I56-I61-I62-I63-I64</f>
        <v>2291.7530630757219</v>
      </c>
      <c r="J65" s="192">
        <f>J56-J61-J62-J63-J64</f>
        <v>3212.2826009604914</v>
      </c>
      <c r="K65" s="192">
        <f>K56-K61-K62-K63-K64</f>
        <v>3659.6234081398229</v>
      </c>
      <c r="L65" s="192">
        <f>L56-L61-L62-L63-L64</f>
        <v>3751.7284624202402</v>
      </c>
      <c r="M65" s="192">
        <f>M56-M61-M62-M63-M64</f>
        <v>3564.9202651427358</v>
      </c>
    </row>
    <row r="66" spans="2:13" x14ac:dyDescent="0.3">
      <c r="B66" s="198" t="s">
        <v>111</v>
      </c>
      <c r="C66" s="193">
        <f>'Raw Data'!C111</f>
        <v>1266.48</v>
      </c>
      <c r="D66" s="193">
        <f>'Raw Data'!D111</f>
        <v>1768.22</v>
      </c>
      <c r="E66" s="193">
        <f>'Raw Data'!E111</f>
        <v>2451.9</v>
      </c>
      <c r="F66" s="193">
        <f>'Raw Data'!F111</f>
        <v>2935.13</v>
      </c>
      <c r="G66" s="193">
        <f>'Raw Data'!G111</f>
        <v>5338.05</v>
      </c>
      <c r="H66" s="193">
        <f>'Raw Data'!H111</f>
        <v>5099.03</v>
      </c>
      <c r="I66" s="193">
        <f>I62+I63+I64+I65</f>
        <v>5991.3487694313553</v>
      </c>
      <c r="J66" s="193">
        <f>J62+J63+J64+J65</f>
        <v>6941.2372954388002</v>
      </c>
      <c r="K66" s="193">
        <f>K62+K63+K64+K65</f>
        <v>7511.0121485897689</v>
      </c>
      <c r="L66" s="193">
        <f>L62+L63+L64+L65</f>
        <v>7810.4520861094243</v>
      </c>
      <c r="M66" s="193">
        <f>M62+M63+M64+M65</f>
        <v>7910.9026194326543</v>
      </c>
    </row>
    <row r="67" spans="2:13" s="225" customFormat="1" x14ac:dyDescent="0.3">
      <c r="B67" s="207" t="s">
        <v>113</v>
      </c>
      <c r="C67" s="208">
        <f>'Raw Data'!C113</f>
        <v>8296.57</v>
      </c>
      <c r="D67" s="208">
        <f>'Raw Data'!D113</f>
        <v>9065.6200000000008</v>
      </c>
      <c r="E67" s="208">
        <f>'Raw Data'!E113</f>
        <v>11068.94</v>
      </c>
      <c r="F67" s="208">
        <f>'Raw Data'!F113</f>
        <v>14009.46</v>
      </c>
      <c r="G67" s="208">
        <f>'Raw Data'!G113</f>
        <v>19483.97</v>
      </c>
      <c r="H67" s="208">
        <f>'Raw Data'!H113</f>
        <v>21000.27</v>
      </c>
      <c r="I67" s="208">
        <f>I61+I66</f>
        <v>23220.525844446529</v>
      </c>
      <c r="J67" s="208">
        <f>J61+J66</f>
        <v>25453.631211999142</v>
      </c>
      <c r="K67" s="208">
        <f>K61+K66</f>
        <v>27946.137906890937</v>
      </c>
      <c r="L67" s="208">
        <f>L61+L66</f>
        <v>30725.312981189596</v>
      </c>
      <c r="M67" s="208">
        <f>M61+M66</f>
        <v>33822.323986252995</v>
      </c>
    </row>
    <row r="70" spans="2:13" x14ac:dyDescent="0.3">
      <c r="B70" s="70" t="s">
        <v>298</v>
      </c>
      <c r="C70" s="71"/>
      <c r="D70" s="71"/>
      <c r="E70" s="71"/>
      <c r="F70" s="71"/>
      <c r="G70" s="71"/>
      <c r="H70" s="72"/>
      <c r="I70" s="72"/>
      <c r="J70" s="72"/>
      <c r="K70" s="72"/>
      <c r="L70" s="72"/>
    </row>
    <row r="71" spans="2:13" ht="15" thickBot="1" x14ac:dyDescent="0.35">
      <c r="B71" s="73"/>
      <c r="C71" s="71"/>
      <c r="D71" s="71"/>
      <c r="E71" s="71"/>
      <c r="F71" s="71"/>
      <c r="G71" s="71"/>
      <c r="H71" s="72"/>
      <c r="I71" s="72"/>
      <c r="J71" s="72"/>
      <c r="K71" s="72"/>
      <c r="L71" s="72"/>
    </row>
    <row r="72" spans="2:13" ht="27.6" x14ac:dyDescent="0.3">
      <c r="B72" s="74" t="s">
        <v>117</v>
      </c>
      <c r="C72" s="75" t="s">
        <v>300</v>
      </c>
      <c r="D72" s="75" t="s">
        <v>301</v>
      </c>
      <c r="E72" s="75" t="s">
        <v>302</v>
      </c>
      <c r="F72" s="75" t="s">
        <v>303</v>
      </c>
      <c r="G72" s="75" t="s">
        <v>304</v>
      </c>
      <c r="H72" s="75" t="s">
        <v>305</v>
      </c>
      <c r="I72" s="75" t="s">
        <v>306</v>
      </c>
      <c r="J72" s="75" t="s">
        <v>307</v>
      </c>
      <c r="K72" s="75" t="s">
        <v>308</v>
      </c>
      <c r="L72" s="75" t="s">
        <v>309</v>
      </c>
      <c r="M72" s="76" t="s">
        <v>310</v>
      </c>
    </row>
    <row r="73" spans="2:13" x14ac:dyDescent="0.3">
      <c r="B73" s="40" t="s">
        <v>311</v>
      </c>
      <c r="C73" s="228">
        <f>C21</f>
        <v>0</v>
      </c>
      <c r="D73" s="228">
        <f>D21</f>
        <v>0</v>
      </c>
      <c r="E73" s="228">
        <f>E21</f>
        <v>0</v>
      </c>
      <c r="F73" s="228">
        <f>F21</f>
        <v>0</v>
      </c>
      <c r="G73" s="228">
        <f t="shared" ref="G73:M73" si="4">G30</f>
        <v>3069.94</v>
      </c>
      <c r="H73" s="228">
        <f t="shared" si="4"/>
        <v>3543.25</v>
      </c>
      <c r="I73" s="228">
        <f t="shared" si="4"/>
        <v>2832.2216466130049</v>
      </c>
      <c r="J73" s="228">
        <f t="shared" si="4"/>
        <v>3133.2788122523434</v>
      </c>
      <c r="K73" s="228">
        <f t="shared" si="4"/>
        <v>3468.6004480808151</v>
      </c>
      <c r="L73" s="228">
        <f t="shared" si="4"/>
        <v>3842.6130148623533</v>
      </c>
      <c r="M73" s="228">
        <f t="shared" si="4"/>
        <v>4260.2198668237743</v>
      </c>
    </row>
    <row r="74" spans="2:13" x14ac:dyDescent="0.3">
      <c r="B74" s="40" t="s">
        <v>312</v>
      </c>
      <c r="C74" s="228">
        <f t="shared" ref="C74:F75" si="5">C15</f>
        <v>203.07</v>
      </c>
      <c r="D74" s="228">
        <f t="shared" si="5"/>
        <v>258.39</v>
      </c>
      <c r="E74" s="228">
        <f t="shared" si="5"/>
        <v>388.97</v>
      </c>
      <c r="F74" s="228">
        <f t="shared" si="5"/>
        <v>436.94</v>
      </c>
      <c r="G74" s="228">
        <f t="shared" ref="G74:M74" si="6">G25</f>
        <v>617.91</v>
      </c>
      <c r="H74" s="228">
        <f t="shared" si="6"/>
        <v>702.42</v>
      </c>
      <c r="I74" s="228">
        <f t="shared" si="6"/>
        <v>839.65885587604305</v>
      </c>
      <c r="J74" s="228">
        <f t="shared" si="6"/>
        <v>990.46441884904118</v>
      </c>
      <c r="K74" s="228">
        <f t="shared" si="6"/>
        <v>1159.3666493787991</v>
      </c>
      <c r="L74" s="228">
        <f t="shared" si="6"/>
        <v>1348.5371475721281</v>
      </c>
      <c r="M74" s="228">
        <f t="shared" si="6"/>
        <v>1560.4081055486565</v>
      </c>
    </row>
    <row r="75" spans="2:13" x14ac:dyDescent="0.3">
      <c r="B75" s="40" t="s">
        <v>313</v>
      </c>
      <c r="C75" s="228">
        <f t="shared" si="5"/>
        <v>695.06</v>
      </c>
      <c r="D75" s="228">
        <f t="shared" si="5"/>
        <v>741.12</v>
      </c>
      <c r="E75" s="228">
        <f t="shared" si="5"/>
        <v>920.47</v>
      </c>
      <c r="F75" s="228">
        <f t="shared" si="5"/>
        <v>1036.8</v>
      </c>
      <c r="G75" s="228">
        <f t="shared" ref="G75:M75" si="7">G29</f>
        <v>353.6</v>
      </c>
      <c r="H75" s="228">
        <f t="shared" si="7"/>
        <v>33.22</v>
      </c>
      <c r="I75" s="228">
        <f t="shared" si="7"/>
        <v>39.572134488722455</v>
      </c>
      <c r="J75" s="228">
        <f t="shared" si="7"/>
        <v>33.083722313717828</v>
      </c>
      <c r="K75" s="228">
        <f t="shared" si="7"/>
        <v>27.679090365303146</v>
      </c>
      <c r="L75" s="228">
        <f t="shared" si="7"/>
        <v>23.173567929422074</v>
      </c>
      <c r="M75" s="228">
        <f t="shared" si="7"/>
        <v>19.414605635140276</v>
      </c>
    </row>
    <row r="76" spans="2:13" x14ac:dyDescent="0.3">
      <c r="B76" s="40" t="s">
        <v>314</v>
      </c>
      <c r="C76" s="228">
        <f t="shared" ref="C76:G76" si="8">SUM(C73:C75)</f>
        <v>898.12999999999988</v>
      </c>
      <c r="D76" s="228">
        <f t="shared" si="8"/>
        <v>999.51</v>
      </c>
      <c r="E76" s="228">
        <f t="shared" si="8"/>
        <v>1309.44</v>
      </c>
      <c r="F76" s="228">
        <f t="shared" si="8"/>
        <v>1473.74</v>
      </c>
      <c r="G76" s="228">
        <f t="shared" si="8"/>
        <v>4041.45</v>
      </c>
      <c r="H76" s="228">
        <f t="shared" ref="H76:M76" si="9">SUM(H73:H75)</f>
        <v>4278.8900000000003</v>
      </c>
      <c r="I76" s="228">
        <f t="shared" si="9"/>
        <v>3711.4526369777705</v>
      </c>
      <c r="J76" s="228">
        <f t="shared" si="9"/>
        <v>4156.8269534151023</v>
      </c>
      <c r="K76" s="228">
        <f t="shared" si="9"/>
        <v>4655.6461878249165</v>
      </c>
      <c r="L76" s="228">
        <f t="shared" si="9"/>
        <v>5214.3237303639044</v>
      </c>
      <c r="M76" s="228">
        <f t="shared" si="9"/>
        <v>5840.0425780075711</v>
      </c>
    </row>
    <row r="77" spans="2:13" x14ac:dyDescent="0.3">
      <c r="B77" s="40" t="s">
        <v>315</v>
      </c>
      <c r="C77" s="228"/>
      <c r="D77" s="228"/>
      <c r="E77" s="228"/>
      <c r="F77" s="228"/>
      <c r="G77" s="228"/>
      <c r="H77" s="228"/>
      <c r="I77" s="228"/>
      <c r="J77" s="228"/>
      <c r="K77" s="228"/>
      <c r="L77" s="228"/>
      <c r="M77" s="228"/>
    </row>
    <row r="78" spans="2:13" x14ac:dyDescent="0.3">
      <c r="B78" s="40" t="s">
        <v>316</v>
      </c>
      <c r="C78" s="228">
        <f t="shared" ref="C78:F79" si="10">C60</f>
        <v>1727.69</v>
      </c>
      <c r="D78" s="228">
        <f t="shared" si="10"/>
        <v>1807.83</v>
      </c>
      <c r="E78" s="228">
        <f t="shared" si="10"/>
        <v>2325.2399999999998</v>
      </c>
      <c r="F78" s="228">
        <f t="shared" si="10"/>
        <v>2560.1200000000003</v>
      </c>
      <c r="G78" s="228">
        <f t="shared" ref="G78:M80" si="11">G62</f>
        <v>1688.71</v>
      </c>
      <c r="H78" s="228">
        <f t="shared" si="11"/>
        <v>1659.03</v>
      </c>
      <c r="I78" s="228">
        <f t="shared" si="11"/>
        <v>2144.4033134710103</v>
      </c>
      <c r="J78" s="228">
        <f t="shared" si="11"/>
        <v>2401.7317110875315</v>
      </c>
      <c r="K78" s="228">
        <f t="shared" si="11"/>
        <v>2689.9395164180355</v>
      </c>
      <c r="L78" s="228">
        <f t="shared" si="11"/>
        <v>3012.7322583881996</v>
      </c>
      <c r="M78" s="228">
        <f t="shared" si="11"/>
        <v>3374.2601293947841</v>
      </c>
    </row>
    <row r="79" spans="2:13" x14ac:dyDescent="0.3">
      <c r="B79" s="40" t="s">
        <v>317</v>
      </c>
      <c r="C79" s="228">
        <f t="shared" si="10"/>
        <v>7030.1</v>
      </c>
      <c r="D79" s="228">
        <f t="shared" si="10"/>
        <v>7297.4</v>
      </c>
      <c r="E79" s="228">
        <f t="shared" si="10"/>
        <v>8617.0499999999993</v>
      </c>
      <c r="F79" s="228">
        <f t="shared" si="10"/>
        <v>11074.33</v>
      </c>
      <c r="G79" s="228">
        <f t="shared" si="11"/>
        <v>199.76</v>
      </c>
      <c r="H79" s="228">
        <f t="shared" si="11"/>
        <v>266.20999999999998</v>
      </c>
      <c r="I79" s="228">
        <f t="shared" si="11"/>
        <v>321.28615288462265</v>
      </c>
      <c r="J79" s="228">
        <f t="shared" si="11"/>
        <v>359.84049123077739</v>
      </c>
      <c r="K79" s="228">
        <f t="shared" si="11"/>
        <v>403.02135017847075</v>
      </c>
      <c r="L79" s="228">
        <f t="shared" si="11"/>
        <v>451.38391219988722</v>
      </c>
      <c r="M79" s="228">
        <f t="shared" si="11"/>
        <v>505.54998166387384</v>
      </c>
    </row>
    <row r="80" spans="2:13" x14ac:dyDescent="0.3">
      <c r="B80" s="40" t="s">
        <v>318</v>
      </c>
      <c r="C80" s="228">
        <f>C64</f>
        <v>380.40999999999997</v>
      </c>
      <c r="D80" s="228">
        <f>D64</f>
        <v>545.64</v>
      </c>
      <c r="E80" s="228">
        <f>E64</f>
        <v>828.02</v>
      </c>
      <c r="F80" s="228">
        <f>F64</f>
        <v>1134</v>
      </c>
      <c r="G80" s="228">
        <f t="shared" si="11"/>
        <v>1390.88</v>
      </c>
      <c r="H80" s="228">
        <f t="shared" si="11"/>
        <v>1573.86</v>
      </c>
      <c r="I80" s="228">
        <f t="shared" si="11"/>
        <v>1233.90624</v>
      </c>
      <c r="J80" s="228">
        <f t="shared" si="11"/>
        <v>967.38249215999997</v>
      </c>
      <c r="K80" s="228">
        <f t="shared" si="11"/>
        <v>758.42787385344002</v>
      </c>
      <c r="L80" s="228">
        <f t="shared" si="11"/>
        <v>594.60745310109701</v>
      </c>
      <c r="M80" s="228">
        <f t="shared" si="11"/>
        <v>466.17224323126004</v>
      </c>
    </row>
    <row r="81" spans="2:13" x14ac:dyDescent="0.3">
      <c r="B81" s="40" t="s">
        <v>319</v>
      </c>
      <c r="C81" s="228">
        <f t="shared" ref="C81:G81" si="12">SUM(C78:C80)</f>
        <v>9138.2000000000007</v>
      </c>
      <c r="D81" s="228">
        <f t="shared" si="12"/>
        <v>9650.869999999999</v>
      </c>
      <c r="E81" s="228">
        <f t="shared" si="12"/>
        <v>11770.31</v>
      </c>
      <c r="F81" s="228">
        <f t="shared" si="12"/>
        <v>14768.45</v>
      </c>
      <c r="G81" s="228">
        <f t="shared" si="12"/>
        <v>3279.3500000000004</v>
      </c>
      <c r="H81" s="228">
        <f t="shared" ref="H81:M81" si="13">SUM(H78:H80)</f>
        <v>3499.1</v>
      </c>
      <c r="I81" s="228">
        <f t="shared" si="13"/>
        <v>3699.5957063556334</v>
      </c>
      <c r="J81" s="228">
        <f t="shared" si="13"/>
        <v>3728.9546944783087</v>
      </c>
      <c r="K81" s="228">
        <f t="shared" si="13"/>
        <v>3851.388740449946</v>
      </c>
      <c r="L81" s="228">
        <f t="shared" si="13"/>
        <v>4058.723623689184</v>
      </c>
      <c r="M81" s="228">
        <f t="shared" si="13"/>
        <v>4345.9823542899185</v>
      </c>
    </row>
    <row r="82" spans="2:13" x14ac:dyDescent="0.3">
      <c r="B82" s="40" t="s">
        <v>320</v>
      </c>
      <c r="C82" s="228">
        <f t="shared" ref="C82:F83" si="14">C45</f>
        <v>288.69</v>
      </c>
      <c r="D82" s="228">
        <f t="shared" si="14"/>
        <v>433.03</v>
      </c>
      <c r="E82" s="228">
        <f t="shared" si="14"/>
        <v>649.54999999999995</v>
      </c>
      <c r="F82" s="228">
        <f t="shared" si="14"/>
        <v>649.61</v>
      </c>
      <c r="G82" s="228">
        <f t="shared" ref="G82:M83" si="15">G53</f>
        <v>557.83000000000004</v>
      </c>
      <c r="H82" s="228">
        <f t="shared" si="15"/>
        <v>447.94</v>
      </c>
      <c r="I82" s="228">
        <f t="shared" si="15"/>
        <v>783.1431482621764</v>
      </c>
      <c r="J82" s="228">
        <f t="shared" si="15"/>
        <v>877.12032605363777</v>
      </c>
      <c r="K82" s="228">
        <f t="shared" si="15"/>
        <v>982.37476518007429</v>
      </c>
      <c r="L82" s="228">
        <f t="shared" si="15"/>
        <v>1100.2597370016831</v>
      </c>
      <c r="M82" s="228">
        <f t="shared" si="15"/>
        <v>1232.2909054418853</v>
      </c>
    </row>
    <row r="83" spans="2:13" x14ac:dyDescent="0.3">
      <c r="B83" s="40" t="s">
        <v>321</v>
      </c>
      <c r="C83" s="228">
        <f t="shared" si="14"/>
        <v>3723.08</v>
      </c>
      <c r="D83" s="228">
        <f t="shared" si="14"/>
        <v>3965.59</v>
      </c>
      <c r="E83" s="228">
        <f t="shared" si="14"/>
        <v>4867.8500000000004</v>
      </c>
      <c r="F83" s="228">
        <f t="shared" si="14"/>
        <v>6425.85</v>
      </c>
      <c r="G83" s="228">
        <f t="shared" si="15"/>
        <v>920.44999999999993</v>
      </c>
      <c r="H83" s="228">
        <f t="shared" si="15"/>
        <v>716.91</v>
      </c>
      <c r="I83" s="228">
        <f t="shared" si="15"/>
        <v>682.49832000000004</v>
      </c>
      <c r="J83" s="228">
        <f t="shared" si="15"/>
        <v>649.73840064000012</v>
      </c>
      <c r="K83" s="228">
        <f t="shared" si="15"/>
        <v>618.55095740928016</v>
      </c>
      <c r="L83" s="228">
        <f t="shared" si="15"/>
        <v>588.86051145363479</v>
      </c>
      <c r="M83" s="228">
        <f t="shared" si="15"/>
        <v>560.59520690386034</v>
      </c>
    </row>
    <row r="84" spans="2:13" x14ac:dyDescent="0.3">
      <c r="B84" s="40" t="s">
        <v>322</v>
      </c>
      <c r="C84" s="228">
        <f>SUM(C82:C83)</f>
        <v>4011.77</v>
      </c>
      <c r="D84" s="228">
        <f>SUM(D82:D83)</f>
        <v>4398.62</v>
      </c>
      <c r="E84" s="228">
        <f>SUM(E82:E83)</f>
        <v>5517.4000000000005</v>
      </c>
      <c r="F84" s="228">
        <f>SUM(F82:F83)</f>
        <v>7075.46</v>
      </c>
      <c r="G84" s="228">
        <f>SUM(G82:G83)</f>
        <v>1478.28</v>
      </c>
      <c r="H84" s="228">
        <f t="shared" ref="H84:M84" si="16">SUM(H82:H83)</f>
        <v>1164.8499999999999</v>
      </c>
      <c r="I84" s="228">
        <f t="shared" si="16"/>
        <v>1465.6414682621764</v>
      </c>
      <c r="J84" s="228">
        <f t="shared" si="16"/>
        <v>1526.8587266936379</v>
      </c>
      <c r="K84" s="228">
        <f t="shared" si="16"/>
        <v>1600.9257225893543</v>
      </c>
      <c r="L84" s="228">
        <f t="shared" si="16"/>
        <v>1689.1202484553178</v>
      </c>
      <c r="M84" s="228">
        <f t="shared" si="16"/>
        <v>1792.8861123457457</v>
      </c>
    </row>
    <row r="85" spans="2:13" x14ac:dyDescent="0.3">
      <c r="B85" s="40" t="s">
        <v>323</v>
      </c>
      <c r="C85" s="228">
        <f>C81-C84</f>
        <v>5126.43</v>
      </c>
      <c r="D85" s="228">
        <f>D81-D84</f>
        <v>5252.2499999999991</v>
      </c>
      <c r="E85" s="228">
        <f>E81-E84</f>
        <v>6252.9099999999989</v>
      </c>
      <c r="F85" s="228">
        <f>F81-F84</f>
        <v>7692.9900000000007</v>
      </c>
      <c r="G85" s="228">
        <f>G81-G84</f>
        <v>1801.0700000000004</v>
      </c>
      <c r="H85" s="228">
        <f t="shared" ref="H85:M85" si="17">H81-H84</f>
        <v>2334.25</v>
      </c>
      <c r="I85" s="228">
        <f t="shared" si="17"/>
        <v>2233.9542380934572</v>
      </c>
      <c r="J85" s="228">
        <f t="shared" si="17"/>
        <v>2202.0959677846708</v>
      </c>
      <c r="K85" s="228">
        <f t="shared" si="17"/>
        <v>2250.4630178605917</v>
      </c>
      <c r="L85" s="228">
        <f t="shared" si="17"/>
        <v>2369.6033752338662</v>
      </c>
      <c r="M85" s="228">
        <f t="shared" si="17"/>
        <v>2553.096241944173</v>
      </c>
    </row>
  </sheetData>
  <mergeCells count="8">
    <mergeCell ref="B40:M40"/>
    <mergeCell ref="C41:H41"/>
    <mergeCell ref="I41:M41"/>
    <mergeCell ref="B1:M1"/>
    <mergeCell ref="B2:M2"/>
    <mergeCell ref="B4:M4"/>
    <mergeCell ref="C5:H5"/>
    <mergeCell ref="I5:M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N24"/>
  <sheetViews>
    <sheetView zoomScaleNormal="100" workbookViewId="0">
      <pane xSplit="2" ySplit="6" topLeftCell="C7" activePane="bottomRight" state="frozen"/>
      <selection pane="topRight" activeCell="C1" sqref="C1"/>
      <selection pane="bottomLeft" activeCell="A7" sqref="A7"/>
      <selection pane="bottomRight" activeCell="E18" sqref="E18"/>
    </sheetView>
  </sheetViews>
  <sheetFormatPr defaultColWidth="8.6640625" defaultRowHeight="14.4" x14ac:dyDescent="0.3"/>
  <cols>
    <col min="1" max="1" width="2" style="77" customWidth="1"/>
    <col min="2" max="2" width="42" style="77" customWidth="1"/>
    <col min="3" max="15" width="13" style="77" customWidth="1"/>
    <col min="16" max="16384" width="8.6640625" style="77"/>
  </cols>
  <sheetData>
    <row r="1" spans="2:14" ht="27.75" customHeight="1" x14ac:dyDescent="0.3">
      <c r="B1" s="255" t="s">
        <v>174</v>
      </c>
      <c r="C1" s="255"/>
      <c r="D1" s="255"/>
      <c r="E1" s="255"/>
      <c r="F1" s="255"/>
      <c r="G1" s="255"/>
      <c r="H1" s="255"/>
      <c r="I1" s="255"/>
      <c r="J1" s="255"/>
      <c r="K1" s="255"/>
      <c r="L1" s="255"/>
      <c r="M1" s="255"/>
      <c r="N1" s="255"/>
    </row>
    <row r="2" spans="2:14" x14ac:dyDescent="0.3">
      <c r="B2" s="256" t="s">
        <v>175</v>
      </c>
      <c r="C2" s="256"/>
      <c r="D2" s="256"/>
      <c r="E2" s="256"/>
      <c r="F2" s="256"/>
      <c r="G2" s="256"/>
      <c r="H2" s="256"/>
      <c r="I2" s="256"/>
      <c r="J2" s="256"/>
      <c r="K2" s="256"/>
      <c r="L2" s="256"/>
      <c r="M2" s="256"/>
      <c r="N2" s="256"/>
    </row>
    <row r="4" spans="2:14" ht="19.5" customHeight="1" x14ac:dyDescent="0.3">
      <c r="B4" s="257" t="s">
        <v>176</v>
      </c>
      <c r="C4" s="257"/>
      <c r="D4" s="257"/>
      <c r="E4" s="257"/>
      <c r="F4" s="257"/>
      <c r="G4" s="257"/>
      <c r="H4" s="257"/>
      <c r="I4" s="257"/>
      <c r="J4" s="257"/>
      <c r="K4" s="257"/>
      <c r="L4" s="257"/>
      <c r="M4" s="257"/>
      <c r="N4" s="257"/>
    </row>
    <row r="5" spans="2:14" x14ac:dyDescent="0.3">
      <c r="C5" s="258" t="s">
        <v>2</v>
      </c>
      <c r="D5" s="258"/>
      <c r="E5" s="258"/>
      <c r="F5" s="258"/>
      <c r="G5" s="258"/>
      <c r="H5" s="258"/>
      <c r="I5" s="259" t="s">
        <v>116</v>
      </c>
      <c r="J5" s="259"/>
      <c r="K5" s="259"/>
      <c r="L5" s="259"/>
      <c r="M5" s="259"/>
    </row>
    <row r="6" spans="2:14" x14ac:dyDescent="0.3">
      <c r="B6" s="204" t="s">
        <v>147</v>
      </c>
      <c r="C6" s="202" t="s">
        <v>3</v>
      </c>
      <c r="D6" s="202" t="s">
        <v>4</v>
      </c>
      <c r="E6" s="202" t="s">
        <v>5</v>
      </c>
      <c r="F6" s="202" t="s">
        <v>6</v>
      </c>
      <c r="G6" s="202" t="s">
        <v>7</v>
      </c>
      <c r="H6" s="202" t="s">
        <v>8</v>
      </c>
      <c r="I6" s="203" t="s">
        <v>118</v>
      </c>
      <c r="J6" s="203" t="s">
        <v>119</v>
      </c>
      <c r="K6" s="203" t="s">
        <v>120</v>
      </c>
      <c r="L6" s="203" t="s">
        <v>121</v>
      </c>
      <c r="M6" s="203" t="s">
        <v>122</v>
      </c>
    </row>
    <row r="8" spans="2:14" x14ac:dyDescent="0.3">
      <c r="B8" s="205" t="s">
        <v>177</v>
      </c>
      <c r="C8" s="192">
        <f>'Financial Statements'!C8</f>
        <v>4876.45</v>
      </c>
      <c r="D8" s="192">
        <f>'Financial Statements'!D8</f>
        <v>6595.74</v>
      </c>
      <c r="E8" s="192">
        <f>'Financial Statements'!E8</f>
        <v>10595.83</v>
      </c>
      <c r="F8" s="192">
        <f>'Financial Statements'!F8</f>
        <v>12632.83</v>
      </c>
      <c r="G8" s="192">
        <f>'Financial Statements'!G8</f>
        <v>14348.6</v>
      </c>
      <c r="H8" s="192">
        <f>'Financial Statements'!H8</f>
        <v>14556.82</v>
      </c>
      <c r="I8" s="192">
        <f>'Financial Statements'!I8</f>
        <v>16303.638400000002</v>
      </c>
      <c r="J8" s="192">
        <f>'Financial Statements'!J8</f>
        <v>18260.075008000003</v>
      </c>
      <c r="K8" s="192">
        <f>'Financial Statements'!K8</f>
        <v>20451.284008960007</v>
      </c>
      <c r="L8" s="192">
        <f>'Financial Statements'!L8</f>
        <v>22905.438090035208</v>
      </c>
      <c r="M8" s="192">
        <f>'Financial Statements'!M8</f>
        <v>25654.090660839436</v>
      </c>
    </row>
    <row r="10" spans="2:14" x14ac:dyDescent="0.3">
      <c r="B10" s="204" t="s">
        <v>178</v>
      </c>
      <c r="C10" s="192">
        <f>'Raw Data'!C91</f>
        <v>5302.42</v>
      </c>
      <c r="D10" s="192">
        <f>'Raw Data'!D91</f>
        <v>5489.56</v>
      </c>
      <c r="E10" s="192">
        <f>'Raw Data'!E91</f>
        <v>6291.81</v>
      </c>
      <c r="F10" s="192">
        <f>'Raw Data'!F91</f>
        <v>8514.2099999999991</v>
      </c>
      <c r="G10" s="192">
        <f>'Raw Data'!G91</f>
        <v>10141.129999999999</v>
      </c>
      <c r="H10" s="192">
        <f>'Raw Data'!H91</f>
        <v>10977.67</v>
      </c>
      <c r="I10" s="192">
        <f>H13</f>
        <v>12516.630000000001</v>
      </c>
      <c r="J10" s="192">
        <f>I13</f>
        <v>14764.658970891218</v>
      </c>
      <c r="K10" s="192">
        <f>J13</f>
        <v>17282.451418289384</v>
      </c>
      <c r="L10" s="192">
        <f>K13</f>
        <v>20102.378959375328</v>
      </c>
      <c r="M10" s="192">
        <f>L13</f>
        <v>23260.697805391585</v>
      </c>
    </row>
    <row r="11" spans="2:14" x14ac:dyDescent="0.3">
      <c r="B11" s="196" t="s">
        <v>179</v>
      </c>
      <c r="C11" s="192">
        <v>0</v>
      </c>
      <c r="D11" s="192">
        <f>'Raw Data'!D91-'Raw Data'!C91+'Raw Data'!D38</f>
        <v>586.97000000000025</v>
      </c>
      <c r="E11" s="192">
        <f>'Raw Data'!E91-'Raw Data'!D91+'Raw Data'!E38</f>
        <v>1285.3800000000001</v>
      </c>
      <c r="F11" s="192">
        <f>'Raw Data'!F91-'Raw Data'!E91+'Raw Data'!F38</f>
        <v>2740.7299999999987</v>
      </c>
      <c r="G11" s="192">
        <f>'Raw Data'!G91-'Raw Data'!F91+'Raw Data'!G38</f>
        <v>2244.83</v>
      </c>
      <c r="H11" s="192">
        <f>'Raw Data'!H91-'Raw Data'!G91+'Raw Data'!H38</f>
        <v>1538.9600000000009</v>
      </c>
      <c r="I11" s="192">
        <f>'Financial Statements'!I8*Assumptions!I34</f>
        <v>2248.0289708912178</v>
      </c>
      <c r="J11" s="192">
        <f>'Financial Statements'!J8*Assumptions!J34</f>
        <v>2517.7924473981643</v>
      </c>
      <c r="K11" s="192">
        <f>'Financial Statements'!K8*Assumptions!K34</f>
        <v>2819.9275410859445</v>
      </c>
      <c r="L11" s="192">
        <f>'Financial Statements'!L8*Assumptions!L34</f>
        <v>3158.3188460162578</v>
      </c>
      <c r="M11" s="192">
        <f>'Financial Statements'!M8*Assumptions!M34</f>
        <v>3537.3171075382093</v>
      </c>
    </row>
    <row r="12" spans="2:14" x14ac:dyDescent="0.3">
      <c r="B12" s="196" t="s">
        <v>180</v>
      </c>
      <c r="C12" s="192">
        <v>0</v>
      </c>
      <c r="D12" s="192">
        <v>0</v>
      </c>
      <c r="E12" s="192">
        <v>0</v>
      </c>
      <c r="F12" s="192">
        <v>0</v>
      </c>
      <c r="G12" s="192">
        <v>0</v>
      </c>
      <c r="H12" s="192">
        <v>0</v>
      </c>
      <c r="I12" s="192">
        <v>0</v>
      </c>
      <c r="J12" s="192">
        <v>0</v>
      </c>
      <c r="K12" s="192">
        <v>0</v>
      </c>
      <c r="L12" s="192">
        <v>0</v>
      </c>
      <c r="M12" s="192">
        <v>0</v>
      </c>
    </row>
    <row r="13" spans="2:14" x14ac:dyDescent="0.3">
      <c r="B13" s="198" t="s">
        <v>181</v>
      </c>
      <c r="C13" s="193">
        <f t="shared" ref="C13:M13" si="0">C10+C11-C12</f>
        <v>5302.42</v>
      </c>
      <c r="D13" s="193">
        <f t="shared" si="0"/>
        <v>6076.5300000000007</v>
      </c>
      <c r="E13" s="193">
        <f t="shared" si="0"/>
        <v>7577.1900000000005</v>
      </c>
      <c r="F13" s="193">
        <f t="shared" si="0"/>
        <v>11254.939999999999</v>
      </c>
      <c r="G13" s="193">
        <f t="shared" si="0"/>
        <v>12385.96</v>
      </c>
      <c r="H13" s="193">
        <f t="shared" si="0"/>
        <v>12516.630000000001</v>
      </c>
      <c r="I13" s="193">
        <f t="shared" si="0"/>
        <v>14764.658970891218</v>
      </c>
      <c r="J13" s="193">
        <f t="shared" si="0"/>
        <v>17282.451418289384</v>
      </c>
      <c r="K13" s="193">
        <f t="shared" si="0"/>
        <v>20102.378959375328</v>
      </c>
      <c r="L13" s="193">
        <f t="shared" si="0"/>
        <v>23260.697805391585</v>
      </c>
      <c r="M13" s="193">
        <f t="shared" si="0"/>
        <v>26798.014912929793</v>
      </c>
    </row>
    <row r="15" spans="2:14" x14ac:dyDescent="0.3">
      <c r="B15" s="200" t="s">
        <v>182</v>
      </c>
      <c r="C15" s="192">
        <f>'Raw Data'!C91-'Raw Data'!C92</f>
        <v>596.25</v>
      </c>
      <c r="D15" s="192">
        <f>'Raw Data'!D91-'Raw Data'!D92</f>
        <v>1554.6500000000005</v>
      </c>
      <c r="E15" s="192">
        <f>'Raw Data'!E91-'Raw Data'!E92</f>
        <v>1916.4400000000005</v>
      </c>
      <c r="F15" s="192">
        <f>'Raw Data'!F91-'Raw Data'!F92</f>
        <v>3010.5999999999995</v>
      </c>
      <c r="G15" s="192">
        <f>'Raw Data'!G91-'Raw Data'!G92</f>
        <v>2439.5199999999995</v>
      </c>
      <c r="H15" s="192">
        <f>'Raw Data'!H91-'Raw Data'!H92</f>
        <v>1602.3400000000001</v>
      </c>
      <c r="I15" s="192">
        <f>H18</f>
        <v>0</v>
      </c>
      <c r="J15" s="192">
        <f>I18</f>
        <v>0</v>
      </c>
      <c r="K15" s="192">
        <f>J18</f>
        <v>0</v>
      </c>
      <c r="L15" s="192">
        <f>K18</f>
        <v>0</v>
      </c>
      <c r="M15" s="192">
        <f>L18</f>
        <v>0</v>
      </c>
    </row>
    <row r="16" spans="2:14" x14ac:dyDescent="0.3">
      <c r="B16" s="196" t="s">
        <v>183</v>
      </c>
      <c r="C16" s="192">
        <f>'Raw Data'!C38</f>
        <v>412.82</v>
      </c>
      <c r="D16" s="192">
        <f>'Raw Data'!D38</f>
        <v>399.83</v>
      </c>
      <c r="E16" s="192">
        <f>'Raw Data'!E38</f>
        <v>483.13</v>
      </c>
      <c r="F16" s="192">
        <f>'Raw Data'!F38</f>
        <v>518.33000000000004</v>
      </c>
      <c r="G16" s="192">
        <f>'Raw Data'!G38</f>
        <v>617.91</v>
      </c>
      <c r="H16" s="192">
        <f>'Raw Data'!H38</f>
        <v>702.42</v>
      </c>
      <c r="I16" s="192">
        <f>I10*Assumptions!I22</f>
        <v>839.65885587604305</v>
      </c>
      <c r="J16" s="192">
        <f>J10*Assumptions!J22</f>
        <v>990.46441884904118</v>
      </c>
      <c r="K16" s="192">
        <f>K10*Assumptions!K22</f>
        <v>1159.3666493787991</v>
      </c>
      <c r="L16" s="192">
        <f>L10*Assumptions!L22</f>
        <v>1348.5371475721281</v>
      </c>
      <c r="M16" s="192">
        <f>M10*Assumptions!M22</f>
        <v>1560.4081055486565</v>
      </c>
    </row>
    <row r="17" spans="2:13" x14ac:dyDescent="0.3">
      <c r="B17" s="198" t="s">
        <v>184</v>
      </c>
      <c r="C17" s="193">
        <f t="shared" ref="C17:M17" si="1">C15+C16</f>
        <v>1009.0699999999999</v>
      </c>
      <c r="D17" s="193">
        <f t="shared" si="1"/>
        <v>1954.4800000000005</v>
      </c>
      <c r="E17" s="193">
        <f t="shared" si="1"/>
        <v>2399.5700000000006</v>
      </c>
      <c r="F17" s="193">
        <f t="shared" si="1"/>
        <v>3528.9299999999994</v>
      </c>
      <c r="G17" s="193">
        <f t="shared" si="1"/>
        <v>3057.4299999999994</v>
      </c>
      <c r="H17" s="193">
        <f t="shared" si="1"/>
        <v>2304.7600000000002</v>
      </c>
      <c r="I17" s="193">
        <f t="shared" si="1"/>
        <v>839.65885587604305</v>
      </c>
      <c r="J17" s="193">
        <f t="shared" si="1"/>
        <v>990.46441884904118</v>
      </c>
      <c r="K17" s="193">
        <f t="shared" si="1"/>
        <v>1159.3666493787991</v>
      </c>
      <c r="L17" s="193">
        <f t="shared" si="1"/>
        <v>1348.5371475721281</v>
      </c>
      <c r="M17" s="193">
        <f t="shared" si="1"/>
        <v>1560.4081055486565</v>
      </c>
    </row>
    <row r="19" spans="2:13" x14ac:dyDescent="0.3">
      <c r="B19" s="207" t="s">
        <v>185</v>
      </c>
      <c r="C19" s="208">
        <f t="shared" ref="C19:M19" si="2">C13-C17</f>
        <v>4293.3500000000004</v>
      </c>
      <c r="D19" s="208">
        <f t="shared" si="2"/>
        <v>4122.05</v>
      </c>
      <c r="E19" s="208">
        <f t="shared" si="2"/>
        <v>5177.62</v>
      </c>
      <c r="F19" s="208">
        <f t="shared" si="2"/>
        <v>7726.0099999999993</v>
      </c>
      <c r="G19" s="208">
        <f t="shared" si="2"/>
        <v>9328.5299999999988</v>
      </c>
      <c r="H19" s="208">
        <f t="shared" si="2"/>
        <v>10211.870000000001</v>
      </c>
      <c r="I19" s="208">
        <f t="shared" si="2"/>
        <v>13925.000115015175</v>
      </c>
      <c r="J19" s="208">
        <f t="shared" si="2"/>
        <v>16291.986999440342</v>
      </c>
      <c r="K19" s="208">
        <f t="shared" si="2"/>
        <v>18943.012309996528</v>
      </c>
      <c r="L19" s="208">
        <f t="shared" si="2"/>
        <v>21912.160657819455</v>
      </c>
      <c r="M19" s="208">
        <f t="shared" si="2"/>
        <v>25237.606807381137</v>
      </c>
    </row>
    <row r="21" spans="2:13" x14ac:dyDescent="0.3">
      <c r="B21" s="206" t="s">
        <v>186</v>
      </c>
      <c r="C21" s="192">
        <f t="shared" ref="C21:M21" si="3">C16</f>
        <v>412.82</v>
      </c>
      <c r="D21" s="192">
        <f t="shared" si="3"/>
        <v>399.83</v>
      </c>
      <c r="E21" s="192">
        <f t="shared" si="3"/>
        <v>483.13</v>
      </c>
      <c r="F21" s="192">
        <f t="shared" si="3"/>
        <v>518.33000000000004</v>
      </c>
      <c r="G21" s="192">
        <f t="shared" si="3"/>
        <v>617.91</v>
      </c>
      <c r="H21" s="192">
        <f t="shared" si="3"/>
        <v>702.42</v>
      </c>
      <c r="I21" s="192">
        <f t="shared" si="3"/>
        <v>839.65885587604305</v>
      </c>
      <c r="J21" s="192">
        <f t="shared" si="3"/>
        <v>990.46441884904118</v>
      </c>
      <c r="K21" s="192">
        <f t="shared" si="3"/>
        <v>1159.3666493787991</v>
      </c>
      <c r="L21" s="192">
        <f t="shared" si="3"/>
        <v>1348.5371475721281</v>
      </c>
      <c r="M21" s="192">
        <f t="shared" si="3"/>
        <v>1560.4081055486565</v>
      </c>
    </row>
    <row r="23" spans="2:13" x14ac:dyDescent="0.3">
      <c r="B23" s="205" t="s">
        <v>187</v>
      </c>
      <c r="D23" s="209">
        <f>D11/D8</f>
        <v>8.8992288962269628E-2</v>
      </c>
      <c r="E23" s="209">
        <f>E11/E8</f>
        <v>0.12130998704207223</v>
      </c>
      <c r="F23" s="209">
        <f>F11/F8</f>
        <v>0.21695297094950211</v>
      </c>
      <c r="G23" s="209">
        <f>G11/G8</f>
        <v>0.15644940969850715</v>
      </c>
      <c r="H23" s="209">
        <f>H11/H8</f>
        <v>0.10572089233774966</v>
      </c>
      <c r="I23" s="192">
        <f>Assumptions!I34</f>
        <v>0.13788510979802016</v>
      </c>
      <c r="J23" s="192">
        <f>Assumptions!J34</f>
        <v>0.13788510979802016</v>
      </c>
      <c r="K23" s="192">
        <f>Assumptions!K34</f>
        <v>0.13788510979802016</v>
      </c>
      <c r="L23" s="192">
        <f>Assumptions!L34</f>
        <v>0.13788510979802016</v>
      </c>
      <c r="M23" s="192">
        <f>Assumptions!M34</f>
        <v>0.13788510979802016</v>
      </c>
    </row>
    <row r="24" spans="2:13" x14ac:dyDescent="0.3">
      <c r="B24" s="205" t="s">
        <v>133</v>
      </c>
      <c r="D24" s="209">
        <f>D16/D10</f>
        <v>7.2834616982053194E-2</v>
      </c>
      <c r="E24" s="209">
        <f>E16/E10</f>
        <v>7.6787124849606064E-2</v>
      </c>
      <c r="F24" s="209">
        <f>F16/F10</f>
        <v>6.0878225930532617E-2</v>
      </c>
      <c r="G24" s="209">
        <f>G16/G10</f>
        <v>6.0931079672580865E-2</v>
      </c>
      <c r="H24" s="209">
        <f>H16/H10</f>
        <v>6.3986255735506717E-2</v>
      </c>
      <c r="I24" s="192">
        <f>Assumptions!I22</f>
        <v>6.7083460634055889E-2</v>
      </c>
      <c r="J24" s="192">
        <f>Assumptions!J22</f>
        <v>6.7083460634055889E-2</v>
      </c>
      <c r="K24" s="192">
        <f>Assumptions!K22</f>
        <v>6.7083460634055889E-2</v>
      </c>
      <c r="L24" s="192">
        <f>Assumptions!L22</f>
        <v>6.7083460634055889E-2</v>
      </c>
      <c r="M24" s="192">
        <f>Assumptions!M22</f>
        <v>6.7083460634055889E-2</v>
      </c>
    </row>
  </sheetData>
  <mergeCells count="5">
    <mergeCell ref="B1:N1"/>
    <mergeCell ref="B2:N2"/>
    <mergeCell ref="B4:N4"/>
    <mergeCell ref="C5:H5"/>
    <mergeCell ref="I5:M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ACB57-C1B1-42B9-A99D-2342E8F71D95}">
  <dimension ref="A1:J2272"/>
  <sheetViews>
    <sheetView workbookViewId="0">
      <selection activeCell="R9" sqref="R9"/>
    </sheetView>
  </sheetViews>
  <sheetFormatPr defaultRowHeight="14.4" x14ac:dyDescent="0.3"/>
  <cols>
    <col min="1" max="2" width="9.88671875" bestFit="1" customWidth="1"/>
    <col min="5" max="5" width="9.88671875" bestFit="1" customWidth="1"/>
    <col min="9" max="9" width="19.44140625" bestFit="1" customWidth="1"/>
    <col min="10" max="10" width="12" bestFit="1" customWidth="1"/>
  </cols>
  <sheetData>
    <row r="1" spans="1:10" ht="19.8" customHeight="1" x14ac:dyDescent="0.45">
      <c r="A1" s="260" t="s">
        <v>481</v>
      </c>
      <c r="B1" s="261"/>
      <c r="C1" s="261"/>
      <c r="D1" s="261"/>
      <c r="E1" s="261"/>
      <c r="F1" s="261"/>
      <c r="G1" s="261"/>
      <c r="H1" s="261"/>
      <c r="I1" s="261"/>
      <c r="J1" s="261"/>
    </row>
    <row r="2" spans="1:10" ht="16.2" thickBot="1" x14ac:dyDescent="0.35">
      <c r="A2" s="271" t="s">
        <v>199</v>
      </c>
      <c r="B2" s="271"/>
      <c r="C2" s="271"/>
      <c r="E2" s="264" t="s">
        <v>194</v>
      </c>
      <c r="F2" s="264"/>
      <c r="G2" s="264"/>
    </row>
    <row r="3" spans="1:10" ht="16.2" thickBot="1" x14ac:dyDescent="0.35">
      <c r="A3" s="19" t="s">
        <v>195</v>
      </c>
      <c r="B3" s="19" t="s">
        <v>198</v>
      </c>
      <c r="C3" s="19" t="s">
        <v>197</v>
      </c>
      <c r="E3" s="18" t="s">
        <v>195</v>
      </c>
      <c r="F3" s="18" t="s">
        <v>196</v>
      </c>
      <c r="G3" s="18" t="s">
        <v>197</v>
      </c>
      <c r="I3" s="265" t="s">
        <v>200</v>
      </c>
      <c r="J3" s="266"/>
    </row>
    <row r="4" spans="1:10" x14ac:dyDescent="0.3">
      <c r="A4" s="158">
        <v>42675</v>
      </c>
      <c r="B4" s="19">
        <v>436.55</v>
      </c>
      <c r="C4" s="19"/>
      <c r="E4" s="158">
        <v>42675</v>
      </c>
      <c r="F4" s="19">
        <v>26652.81</v>
      </c>
      <c r="G4" s="19"/>
      <c r="I4" s="267" t="s">
        <v>201</v>
      </c>
      <c r="J4" s="268"/>
    </row>
    <row r="5" spans="1:10" ht="15" thickBot="1" x14ac:dyDescent="0.35">
      <c r="A5" s="158">
        <v>42705</v>
      </c>
      <c r="B5" s="19">
        <v>381.35</v>
      </c>
      <c r="C5" s="19">
        <f>LN(B5/B4)</f>
        <v>-0.13518532764656904</v>
      </c>
      <c r="E5" s="158">
        <v>42705</v>
      </c>
      <c r="F5" s="19">
        <v>26626.46</v>
      </c>
      <c r="G5" s="19">
        <f>LN(F5/F4)</f>
        <v>-9.8912774699603753E-4</v>
      </c>
      <c r="I5" s="269"/>
      <c r="J5" s="270"/>
    </row>
    <row r="6" spans="1:10" ht="15" thickBot="1" x14ac:dyDescent="0.35">
      <c r="A6" s="158">
        <v>42736</v>
      </c>
      <c r="B6" s="19">
        <v>399.45</v>
      </c>
      <c r="C6" s="19">
        <f t="shared" ref="C6:C69" si="0">LN(B6/B5)</f>
        <v>4.6371012317803176E-2</v>
      </c>
      <c r="E6" s="158">
        <v>42736</v>
      </c>
      <c r="F6" s="19">
        <v>27655.96</v>
      </c>
      <c r="G6" s="19">
        <f t="shared" ref="G6:G69" si="1">LN(F6/F5)</f>
        <v>3.7935798070600144E-2</v>
      </c>
      <c r="I6" s="21" t="s">
        <v>202</v>
      </c>
      <c r="J6" s="22">
        <f>SLOPE(C5:C117,G5:G117)</f>
        <v>1.2018200110638075</v>
      </c>
    </row>
    <row r="7" spans="1:10" x14ac:dyDescent="0.3">
      <c r="A7" s="158">
        <v>42767</v>
      </c>
      <c r="B7" s="19">
        <v>388.65</v>
      </c>
      <c r="C7" s="19">
        <f t="shared" si="0"/>
        <v>-2.7409405251822332E-2</v>
      </c>
      <c r="E7" s="158">
        <v>42767</v>
      </c>
      <c r="F7" s="19">
        <v>28743.32</v>
      </c>
      <c r="G7" s="19">
        <f t="shared" si="1"/>
        <v>3.8564136142814967E-2</v>
      </c>
    </row>
    <row r="8" spans="1:10" x14ac:dyDescent="0.3">
      <c r="A8" s="158">
        <v>42795</v>
      </c>
      <c r="B8" s="19">
        <v>404.75</v>
      </c>
      <c r="C8" s="19">
        <f t="shared" si="0"/>
        <v>4.0590396881515799E-2</v>
      </c>
      <c r="E8" s="158">
        <v>42795</v>
      </c>
      <c r="F8" s="19">
        <v>29620.5</v>
      </c>
      <c r="G8" s="19">
        <f t="shared" si="1"/>
        <v>3.0061296763002458E-2</v>
      </c>
    </row>
    <row r="9" spans="1:10" ht="15" thickBot="1" x14ac:dyDescent="0.35">
      <c r="A9" s="158">
        <v>42826</v>
      </c>
      <c r="B9" s="19">
        <v>470.85</v>
      </c>
      <c r="C9" s="19">
        <f t="shared" si="0"/>
        <v>0.15126997939832781</v>
      </c>
      <c r="E9" s="158">
        <v>42826</v>
      </c>
      <c r="F9" s="19">
        <v>29918.400000000001</v>
      </c>
      <c r="G9" s="19">
        <f t="shared" si="1"/>
        <v>1.0006986557222019E-2</v>
      </c>
    </row>
    <row r="10" spans="1:10" ht="15.6" x14ac:dyDescent="0.3">
      <c r="A10" s="158">
        <v>42856</v>
      </c>
      <c r="B10" s="19">
        <v>497.55</v>
      </c>
      <c r="C10" s="19">
        <f t="shared" si="0"/>
        <v>5.515648210509886E-2</v>
      </c>
      <c r="E10" s="158">
        <v>42856</v>
      </c>
      <c r="F10" s="19">
        <v>31145.8</v>
      </c>
      <c r="G10" s="19">
        <f t="shared" si="1"/>
        <v>4.0205728941650587E-2</v>
      </c>
      <c r="I10" s="262" t="s">
        <v>203</v>
      </c>
      <c r="J10" s="263"/>
    </row>
    <row r="11" spans="1:10" x14ac:dyDescent="0.3">
      <c r="A11" s="158">
        <v>42887</v>
      </c>
      <c r="B11" s="19">
        <v>533.54999999999995</v>
      </c>
      <c r="C11" s="19">
        <f t="shared" si="0"/>
        <v>6.9856733001402632E-2</v>
      </c>
      <c r="E11" s="158">
        <v>42887</v>
      </c>
      <c r="F11" s="19">
        <v>30921.61</v>
      </c>
      <c r="G11" s="19">
        <f t="shared" si="1"/>
        <v>-7.2241124608789188E-3</v>
      </c>
      <c r="I11" s="23"/>
      <c r="J11" s="24"/>
    </row>
    <row r="12" spans="1:10" x14ac:dyDescent="0.3">
      <c r="A12" s="158">
        <v>42917</v>
      </c>
      <c r="B12" s="19">
        <v>500.2</v>
      </c>
      <c r="C12" s="19">
        <f t="shared" si="0"/>
        <v>-6.4544768619055198E-2</v>
      </c>
      <c r="E12" s="158">
        <v>42917</v>
      </c>
      <c r="F12" s="19">
        <v>32514.94</v>
      </c>
      <c r="G12" s="19">
        <f t="shared" si="1"/>
        <v>5.0244383795913797E-2</v>
      </c>
      <c r="I12" s="25" t="s">
        <v>204</v>
      </c>
      <c r="J12" s="26">
        <f>AVERAGE(C5:C2272)</f>
        <v>-6.8792560785353469E-4</v>
      </c>
    </row>
    <row r="13" spans="1:10" ht="15" thickBot="1" x14ac:dyDescent="0.35">
      <c r="A13" s="158">
        <v>42948</v>
      </c>
      <c r="B13" s="19">
        <v>524.29999999999995</v>
      </c>
      <c r="C13" s="19">
        <f t="shared" si="0"/>
        <v>4.7056021134968339E-2</v>
      </c>
      <c r="E13" s="158">
        <v>42948</v>
      </c>
      <c r="F13" s="19">
        <v>31730.49</v>
      </c>
      <c r="G13" s="19">
        <f t="shared" si="1"/>
        <v>-2.4421627742765583E-2</v>
      </c>
      <c r="I13" s="27" t="s">
        <v>205</v>
      </c>
      <c r="J13" s="28">
        <f>AVERAGE(G5:G2272)</f>
        <v>8.9551566329133924E-3</v>
      </c>
    </row>
    <row r="14" spans="1:10" x14ac:dyDescent="0.3">
      <c r="A14" s="158">
        <v>42979</v>
      </c>
      <c r="B14" s="19">
        <v>505.8</v>
      </c>
      <c r="C14" s="19">
        <f t="shared" si="0"/>
        <v>-3.5922705342622187E-2</v>
      </c>
      <c r="E14" s="158">
        <v>42979</v>
      </c>
      <c r="F14" s="19">
        <v>31283.72</v>
      </c>
      <c r="G14" s="19">
        <f t="shared" si="1"/>
        <v>-1.4180213837282392E-2</v>
      </c>
    </row>
    <row r="15" spans="1:10" x14ac:dyDescent="0.3">
      <c r="A15" s="158">
        <v>43009</v>
      </c>
      <c r="B15" s="19">
        <v>501.25</v>
      </c>
      <c r="C15" s="19">
        <f t="shared" si="0"/>
        <v>-9.0363556150858115E-3</v>
      </c>
      <c r="E15" s="158">
        <v>43009</v>
      </c>
      <c r="F15" s="19">
        <v>33213.129999999997</v>
      </c>
      <c r="G15" s="19">
        <f t="shared" si="1"/>
        <v>5.9847445230592086E-2</v>
      </c>
    </row>
    <row r="16" spans="1:10" x14ac:dyDescent="0.3">
      <c r="A16" s="158">
        <v>43040</v>
      </c>
      <c r="B16" s="19">
        <v>509.3</v>
      </c>
      <c r="C16" s="19">
        <f t="shared" si="0"/>
        <v>1.593225526977992E-2</v>
      </c>
      <c r="E16" s="158">
        <v>43040</v>
      </c>
      <c r="F16" s="19">
        <v>33149.35</v>
      </c>
      <c r="G16" s="19">
        <f t="shared" si="1"/>
        <v>-1.9221710712905155E-3</v>
      </c>
    </row>
    <row r="17" spans="1:7" x14ac:dyDescent="0.3">
      <c r="A17" s="158">
        <v>43070</v>
      </c>
      <c r="B17" s="19">
        <v>651.35</v>
      </c>
      <c r="C17" s="19">
        <f t="shared" si="0"/>
        <v>0.24600989825301417</v>
      </c>
      <c r="E17" s="158">
        <v>43070</v>
      </c>
      <c r="F17" s="19">
        <v>34056.83</v>
      </c>
      <c r="G17" s="19">
        <f t="shared" si="1"/>
        <v>2.7007491255578928E-2</v>
      </c>
    </row>
    <row r="18" spans="1:7" x14ac:dyDescent="0.3">
      <c r="A18" s="158">
        <v>43101</v>
      </c>
      <c r="B18" s="19">
        <v>691.05</v>
      </c>
      <c r="C18" s="19">
        <f t="shared" si="0"/>
        <v>5.9165047906462459E-2</v>
      </c>
      <c r="E18" s="158">
        <v>43101</v>
      </c>
      <c r="F18" s="19">
        <v>35965.019999999997</v>
      </c>
      <c r="G18" s="19">
        <f t="shared" si="1"/>
        <v>5.4516199563292463E-2</v>
      </c>
    </row>
    <row r="19" spans="1:7" x14ac:dyDescent="0.3">
      <c r="A19" s="158">
        <v>43132</v>
      </c>
      <c r="B19" s="19">
        <v>649.04999999999995</v>
      </c>
      <c r="C19" s="19">
        <f t="shared" si="0"/>
        <v>-6.2702424711032226E-2</v>
      </c>
      <c r="E19" s="158">
        <v>43132</v>
      </c>
      <c r="F19" s="19">
        <v>34184.04</v>
      </c>
      <c r="G19" s="19">
        <f t="shared" si="1"/>
        <v>-5.0787930936253896E-2</v>
      </c>
    </row>
    <row r="20" spans="1:7" x14ac:dyDescent="0.3">
      <c r="A20" s="158">
        <v>43160</v>
      </c>
      <c r="B20" s="19">
        <v>617.4</v>
      </c>
      <c r="C20" s="19">
        <f t="shared" si="0"/>
        <v>-4.9992643270944583E-2</v>
      </c>
      <c r="E20" s="158">
        <v>43160</v>
      </c>
      <c r="F20" s="19">
        <v>32968.68</v>
      </c>
      <c r="G20" s="19">
        <f t="shared" si="1"/>
        <v>-3.6200848593678038E-2</v>
      </c>
    </row>
    <row r="21" spans="1:7" x14ac:dyDescent="0.3">
      <c r="A21" s="158">
        <v>43191</v>
      </c>
      <c r="B21" s="19">
        <v>652.20000000000005</v>
      </c>
      <c r="C21" s="19">
        <f t="shared" si="0"/>
        <v>5.4834151287159953E-2</v>
      </c>
      <c r="E21" s="158">
        <v>43191</v>
      </c>
      <c r="F21" s="19">
        <v>35160.36</v>
      </c>
      <c r="G21" s="19">
        <f t="shared" si="1"/>
        <v>6.4361291786971281E-2</v>
      </c>
    </row>
    <row r="22" spans="1:7" x14ac:dyDescent="0.3">
      <c r="A22" s="158">
        <v>43221</v>
      </c>
      <c r="B22" s="19">
        <v>766.35</v>
      </c>
      <c r="C22" s="19">
        <f t="shared" si="0"/>
        <v>0.16128772108969783</v>
      </c>
      <c r="E22" s="158">
        <v>43221</v>
      </c>
      <c r="F22" s="19">
        <v>35322.379999999997</v>
      </c>
      <c r="G22" s="19">
        <f t="shared" si="1"/>
        <v>4.5974457116159497E-3</v>
      </c>
    </row>
    <row r="23" spans="1:7" x14ac:dyDescent="0.3">
      <c r="A23" s="158">
        <v>43252</v>
      </c>
      <c r="B23" s="19">
        <v>753.25</v>
      </c>
      <c r="C23" s="19">
        <f t="shared" si="0"/>
        <v>-1.7241806434506103E-2</v>
      </c>
      <c r="E23" s="158">
        <v>43252</v>
      </c>
      <c r="F23" s="19">
        <v>35423.480000000003</v>
      </c>
      <c r="G23" s="19">
        <f t="shared" si="1"/>
        <v>2.8581197209997847E-3</v>
      </c>
    </row>
    <row r="24" spans="1:7" x14ac:dyDescent="0.3">
      <c r="A24" s="158">
        <v>43282</v>
      </c>
      <c r="B24" s="19">
        <v>752.3</v>
      </c>
      <c r="C24" s="19">
        <f t="shared" si="0"/>
        <v>-1.2619974442347921E-3</v>
      </c>
      <c r="E24" s="158">
        <v>43282</v>
      </c>
      <c r="F24" s="19">
        <v>37606.58</v>
      </c>
      <c r="G24" s="19">
        <f t="shared" si="1"/>
        <v>5.9804157980110524E-2</v>
      </c>
    </row>
    <row r="25" spans="1:7" x14ac:dyDescent="0.3">
      <c r="A25" s="158">
        <v>43313</v>
      </c>
      <c r="B25" s="19">
        <v>816.7</v>
      </c>
      <c r="C25" s="19">
        <f t="shared" si="0"/>
        <v>8.2136649798054323E-2</v>
      </c>
      <c r="E25" s="158">
        <v>43313</v>
      </c>
      <c r="F25" s="19">
        <v>38645.07</v>
      </c>
      <c r="G25" s="19">
        <f t="shared" si="1"/>
        <v>2.7240176831872326E-2</v>
      </c>
    </row>
    <row r="26" spans="1:7" x14ac:dyDescent="0.3">
      <c r="A26" s="158">
        <v>43344</v>
      </c>
      <c r="B26" s="19">
        <v>739.8</v>
      </c>
      <c r="C26" s="19">
        <f t="shared" si="0"/>
        <v>-9.8891950965876496E-2</v>
      </c>
      <c r="E26" s="158">
        <v>43344</v>
      </c>
      <c r="F26" s="19">
        <v>36227.14</v>
      </c>
      <c r="G26" s="19">
        <f t="shared" si="1"/>
        <v>-6.4610650230841213E-2</v>
      </c>
    </row>
    <row r="27" spans="1:7" x14ac:dyDescent="0.3">
      <c r="A27" s="158">
        <v>43374</v>
      </c>
      <c r="B27" s="19">
        <v>808.4</v>
      </c>
      <c r="C27" s="19">
        <f t="shared" si="0"/>
        <v>8.8677106131112376E-2</v>
      </c>
      <c r="E27" s="158">
        <v>43374</v>
      </c>
      <c r="F27" s="19">
        <v>34442.050000000003</v>
      </c>
      <c r="G27" s="19">
        <f t="shared" si="1"/>
        <v>-5.0530360088583998E-2</v>
      </c>
    </row>
    <row r="28" spans="1:7" x14ac:dyDescent="0.3">
      <c r="A28" s="158">
        <v>43405</v>
      </c>
      <c r="B28" s="19">
        <v>782.2</v>
      </c>
      <c r="C28" s="19">
        <f t="shared" si="0"/>
        <v>-3.2946523208052164E-2</v>
      </c>
      <c r="E28" s="158">
        <v>43405</v>
      </c>
      <c r="F28" s="19">
        <v>36194.300000000003</v>
      </c>
      <c r="G28" s="19">
        <f t="shared" si="1"/>
        <v>4.9623446272706151E-2</v>
      </c>
    </row>
    <row r="29" spans="1:7" x14ac:dyDescent="0.3">
      <c r="A29" s="158">
        <v>43435</v>
      </c>
      <c r="B29" s="19">
        <v>787.15</v>
      </c>
      <c r="C29" s="19">
        <f t="shared" si="0"/>
        <v>6.3083651392242118E-3</v>
      </c>
      <c r="E29" s="158">
        <v>43435</v>
      </c>
      <c r="F29" s="19">
        <v>36068.33</v>
      </c>
      <c r="G29" s="19">
        <f t="shared" si="1"/>
        <v>-3.4864528899875556E-3</v>
      </c>
    </row>
    <row r="30" spans="1:7" x14ac:dyDescent="0.3">
      <c r="A30" s="158">
        <v>43466</v>
      </c>
      <c r="B30" s="19">
        <v>819.2</v>
      </c>
      <c r="C30" s="19">
        <f t="shared" si="0"/>
        <v>3.9909426824605472E-2</v>
      </c>
      <c r="E30" s="158">
        <v>43466</v>
      </c>
      <c r="F30" s="19">
        <v>36256.69</v>
      </c>
      <c r="G30" s="19">
        <f t="shared" si="1"/>
        <v>5.2087210169462998E-3</v>
      </c>
    </row>
    <row r="31" spans="1:7" x14ac:dyDescent="0.3">
      <c r="A31" s="158">
        <v>43497</v>
      </c>
      <c r="B31" s="19">
        <v>804.2</v>
      </c>
      <c r="C31" s="19">
        <f t="shared" si="0"/>
        <v>-1.8480259822069692E-2</v>
      </c>
      <c r="E31" s="158">
        <v>43497</v>
      </c>
      <c r="F31" s="19">
        <v>35867.440000000002</v>
      </c>
      <c r="G31" s="19">
        <f t="shared" si="1"/>
        <v>-1.079399583182517E-2</v>
      </c>
    </row>
    <row r="32" spans="1:7" x14ac:dyDescent="0.3">
      <c r="A32" s="158">
        <v>43525</v>
      </c>
      <c r="B32" s="19">
        <v>865.15</v>
      </c>
      <c r="C32" s="19">
        <f t="shared" si="0"/>
        <v>7.3054907839483665E-2</v>
      </c>
      <c r="E32" s="158">
        <v>43525</v>
      </c>
      <c r="F32" s="19">
        <v>38672.910000000003</v>
      </c>
      <c r="G32" s="19">
        <f t="shared" si="1"/>
        <v>7.5309434755920723E-2</v>
      </c>
    </row>
    <row r="33" spans="1:7" x14ac:dyDescent="0.3">
      <c r="A33" s="158">
        <v>43556</v>
      </c>
      <c r="B33" s="19">
        <v>875.7</v>
      </c>
      <c r="C33" s="19">
        <f t="shared" si="0"/>
        <v>1.2120664225521539E-2</v>
      </c>
      <c r="E33" s="158">
        <v>43556</v>
      </c>
      <c r="F33" s="19">
        <v>39031.550000000003</v>
      </c>
      <c r="G33" s="19">
        <f t="shared" si="1"/>
        <v>9.2309385238892299E-3</v>
      </c>
    </row>
    <row r="34" spans="1:7" x14ac:dyDescent="0.3">
      <c r="A34" s="158">
        <v>43586</v>
      </c>
      <c r="B34" s="19">
        <v>934</v>
      </c>
      <c r="C34" s="19">
        <f t="shared" si="0"/>
        <v>6.4452871700663814E-2</v>
      </c>
      <c r="E34" s="158">
        <v>43586</v>
      </c>
      <c r="F34" s="19">
        <v>39714.199999999997</v>
      </c>
      <c r="G34" s="19">
        <f t="shared" si="1"/>
        <v>1.733851291438137E-2</v>
      </c>
    </row>
    <row r="35" spans="1:7" x14ac:dyDescent="0.3">
      <c r="A35" s="158">
        <v>43617</v>
      </c>
      <c r="B35" s="19">
        <v>945.25</v>
      </c>
      <c r="C35" s="19">
        <f t="shared" si="0"/>
        <v>1.1973004542199541E-2</v>
      </c>
      <c r="E35" s="158">
        <v>43617</v>
      </c>
      <c r="F35" s="19">
        <v>39394.639999999999</v>
      </c>
      <c r="G35" s="19">
        <f t="shared" si="1"/>
        <v>-8.0790399192252685E-3</v>
      </c>
    </row>
    <row r="36" spans="1:7" x14ac:dyDescent="0.3">
      <c r="A36" s="158">
        <v>43647</v>
      </c>
      <c r="B36" s="19">
        <v>640.65</v>
      </c>
      <c r="C36" s="19">
        <f t="shared" si="0"/>
        <v>-0.38896615681545699</v>
      </c>
      <c r="E36" s="158">
        <v>43647</v>
      </c>
      <c r="F36" s="19">
        <v>37481.120000000003</v>
      </c>
      <c r="G36" s="19">
        <f t="shared" si="1"/>
        <v>-4.9792426912587145E-2</v>
      </c>
    </row>
    <row r="37" spans="1:7" x14ac:dyDescent="0.3">
      <c r="A37" s="158">
        <v>43678</v>
      </c>
      <c r="B37" s="19">
        <v>641.15</v>
      </c>
      <c r="C37" s="19">
        <f t="shared" si="0"/>
        <v>7.8015294953960254E-4</v>
      </c>
      <c r="E37" s="158">
        <v>43678</v>
      </c>
      <c r="F37" s="19">
        <v>37332.79</v>
      </c>
      <c r="G37" s="19">
        <f t="shared" si="1"/>
        <v>-3.9653105781488167E-3</v>
      </c>
    </row>
    <row r="38" spans="1:7" x14ac:dyDescent="0.3">
      <c r="A38" s="158">
        <v>43709</v>
      </c>
      <c r="B38" s="19">
        <v>625.25</v>
      </c>
      <c r="C38" s="19">
        <f t="shared" si="0"/>
        <v>-2.5111869147396337E-2</v>
      </c>
      <c r="E38" s="158">
        <v>43709</v>
      </c>
      <c r="F38" s="19">
        <v>38667.33</v>
      </c>
      <c r="G38" s="19">
        <f t="shared" si="1"/>
        <v>3.5123028513868525E-2</v>
      </c>
    </row>
    <row r="39" spans="1:7" x14ac:dyDescent="0.3">
      <c r="A39" s="158">
        <v>43739</v>
      </c>
      <c r="B39" s="19">
        <v>619.75</v>
      </c>
      <c r="C39" s="19">
        <f t="shared" si="0"/>
        <v>-8.8353988424285743E-3</v>
      </c>
      <c r="E39" s="158">
        <v>43739</v>
      </c>
      <c r="F39" s="19">
        <v>40129.050000000003</v>
      </c>
      <c r="G39" s="19">
        <f t="shared" si="1"/>
        <v>3.7105453472546832E-2</v>
      </c>
    </row>
    <row r="40" spans="1:7" x14ac:dyDescent="0.3">
      <c r="A40" s="158">
        <v>43770</v>
      </c>
      <c r="B40" s="19">
        <v>729.25</v>
      </c>
      <c r="C40" s="19">
        <f t="shared" si="0"/>
        <v>0.16270043783253096</v>
      </c>
      <c r="E40" s="158">
        <v>43770</v>
      </c>
      <c r="F40" s="19">
        <v>40793.81</v>
      </c>
      <c r="G40" s="19">
        <f t="shared" si="1"/>
        <v>1.6429843277785287E-2</v>
      </c>
    </row>
    <row r="41" spans="1:7" x14ac:dyDescent="0.3">
      <c r="A41" s="158">
        <v>43800</v>
      </c>
      <c r="B41" s="19">
        <v>707.95</v>
      </c>
      <c r="C41" s="19">
        <f t="shared" si="0"/>
        <v>-2.9643139016850884E-2</v>
      </c>
      <c r="E41" s="158">
        <v>43800</v>
      </c>
      <c r="F41" s="19">
        <v>41253.74</v>
      </c>
      <c r="G41" s="19">
        <f t="shared" si="1"/>
        <v>1.1211421123530239E-2</v>
      </c>
    </row>
    <row r="42" spans="1:7" x14ac:dyDescent="0.3">
      <c r="A42" s="158">
        <v>43831</v>
      </c>
      <c r="B42" s="19">
        <v>772.3</v>
      </c>
      <c r="C42" s="19">
        <f t="shared" si="0"/>
        <v>8.6999605844238201E-2</v>
      </c>
      <c r="E42" s="158">
        <v>43831</v>
      </c>
      <c r="F42" s="19">
        <v>40723.49</v>
      </c>
      <c r="G42" s="19">
        <f t="shared" si="1"/>
        <v>-1.2936699498618543E-2</v>
      </c>
    </row>
    <row r="43" spans="1:7" x14ac:dyDescent="0.3">
      <c r="A43" s="158">
        <v>43862</v>
      </c>
      <c r="B43" s="19">
        <v>806.7</v>
      </c>
      <c r="C43" s="19">
        <f t="shared" si="0"/>
        <v>4.3578776367710688E-2</v>
      </c>
      <c r="E43" s="158">
        <v>43862</v>
      </c>
      <c r="F43" s="19">
        <v>38297.29</v>
      </c>
      <c r="G43" s="19">
        <f t="shared" si="1"/>
        <v>-6.1425939335728E-2</v>
      </c>
    </row>
    <row r="44" spans="1:7" x14ac:dyDescent="0.3">
      <c r="A44" s="158">
        <v>43891</v>
      </c>
      <c r="B44" s="19">
        <v>530.54999999999995</v>
      </c>
      <c r="C44" s="19">
        <f t="shared" si="0"/>
        <v>-0.41903764762332946</v>
      </c>
      <c r="E44" s="158">
        <v>43891</v>
      </c>
      <c r="F44" s="19">
        <v>29468.49</v>
      </c>
      <c r="G44" s="19">
        <f t="shared" si="1"/>
        <v>-0.26205757961384779</v>
      </c>
    </row>
    <row r="45" spans="1:7" x14ac:dyDescent="0.3">
      <c r="A45" s="158">
        <v>43922</v>
      </c>
      <c r="B45" s="19">
        <v>671.15</v>
      </c>
      <c r="C45" s="19">
        <f t="shared" si="0"/>
        <v>0.23507845461404589</v>
      </c>
      <c r="E45" s="158">
        <v>43922</v>
      </c>
      <c r="F45" s="19">
        <v>33717.620000000003</v>
      </c>
      <c r="G45" s="19">
        <f t="shared" si="1"/>
        <v>0.13469899249607814</v>
      </c>
    </row>
    <row r="46" spans="1:7" x14ac:dyDescent="0.3">
      <c r="A46" s="158">
        <v>43952</v>
      </c>
      <c r="B46" s="19">
        <v>632.29999999999995</v>
      </c>
      <c r="C46" s="19">
        <f t="shared" si="0"/>
        <v>-5.9628693869077577E-2</v>
      </c>
      <c r="E46" s="158">
        <v>43952</v>
      </c>
      <c r="F46" s="19">
        <v>32424.1</v>
      </c>
      <c r="G46" s="19">
        <f t="shared" si="1"/>
        <v>-3.9118575928806673E-2</v>
      </c>
    </row>
    <row r="47" spans="1:7" x14ac:dyDescent="0.3">
      <c r="A47" s="158">
        <v>43983</v>
      </c>
      <c r="B47" s="19">
        <v>682.7</v>
      </c>
      <c r="C47" s="19">
        <f t="shared" si="0"/>
        <v>7.6691559359667219E-2</v>
      </c>
      <c r="E47" s="158">
        <v>43983</v>
      </c>
      <c r="F47" s="19">
        <v>34915.800000000003</v>
      </c>
      <c r="G47" s="19">
        <f t="shared" si="1"/>
        <v>7.4037475367244768E-2</v>
      </c>
    </row>
    <row r="48" spans="1:7" x14ac:dyDescent="0.3">
      <c r="A48" s="158">
        <v>44013</v>
      </c>
      <c r="B48" s="19">
        <v>707.55</v>
      </c>
      <c r="C48" s="19">
        <f t="shared" si="0"/>
        <v>3.5752773974145682E-2</v>
      </c>
      <c r="E48" s="158">
        <v>44013</v>
      </c>
      <c r="F48" s="19">
        <v>37606.89</v>
      </c>
      <c r="G48" s="19">
        <f t="shared" si="1"/>
        <v>7.4247829465739421E-2</v>
      </c>
    </row>
    <row r="49" spans="1:7" x14ac:dyDescent="0.3">
      <c r="A49" s="158">
        <v>44044</v>
      </c>
      <c r="B49" s="19">
        <v>736.1</v>
      </c>
      <c r="C49" s="19">
        <f t="shared" si="0"/>
        <v>3.9557680666280043E-2</v>
      </c>
      <c r="E49" s="158">
        <v>44044</v>
      </c>
      <c r="F49" s="19">
        <v>38628.29</v>
      </c>
      <c r="G49" s="19">
        <f t="shared" si="1"/>
        <v>2.6797631294553651E-2</v>
      </c>
    </row>
    <row r="50" spans="1:7" x14ac:dyDescent="0.3">
      <c r="A50" s="158">
        <v>44075</v>
      </c>
      <c r="B50" s="19">
        <v>698.8</v>
      </c>
      <c r="C50" s="19">
        <f t="shared" si="0"/>
        <v>-5.2001400804758832E-2</v>
      </c>
      <c r="E50" s="158">
        <v>44075</v>
      </c>
      <c r="F50" s="19">
        <v>38067.93</v>
      </c>
      <c r="G50" s="19">
        <f t="shared" si="1"/>
        <v>-1.4612714190343983E-2</v>
      </c>
    </row>
    <row r="51" spans="1:7" x14ac:dyDescent="0.3">
      <c r="A51" s="158">
        <v>44105</v>
      </c>
      <c r="B51" s="19">
        <v>654.70000000000005</v>
      </c>
      <c r="C51" s="19">
        <f t="shared" si="0"/>
        <v>-6.5187462812855659E-2</v>
      </c>
      <c r="E51" s="158">
        <v>44105</v>
      </c>
      <c r="F51" s="19">
        <v>39614.07</v>
      </c>
      <c r="G51" s="19">
        <f t="shared" si="1"/>
        <v>3.9812162791909703E-2</v>
      </c>
    </row>
    <row r="52" spans="1:7" x14ac:dyDescent="0.3">
      <c r="A52" s="158">
        <v>44136</v>
      </c>
      <c r="B52" s="19">
        <v>873.25</v>
      </c>
      <c r="C52" s="19">
        <f t="shared" si="0"/>
        <v>0.2880447682398955</v>
      </c>
      <c r="E52" s="158">
        <v>44136</v>
      </c>
      <c r="F52" s="19">
        <v>44149.72</v>
      </c>
      <c r="G52" s="19">
        <f t="shared" si="1"/>
        <v>0.10840222682843985</v>
      </c>
    </row>
    <row r="53" spans="1:7" x14ac:dyDescent="0.3">
      <c r="A53" s="158">
        <v>44166</v>
      </c>
      <c r="B53" s="19">
        <v>915.45</v>
      </c>
      <c r="C53" s="19">
        <f t="shared" si="0"/>
        <v>4.7193863971672266E-2</v>
      </c>
      <c r="E53" s="158">
        <v>44166</v>
      </c>
      <c r="F53" s="19">
        <v>47751.33</v>
      </c>
      <c r="G53" s="19">
        <f t="shared" si="1"/>
        <v>7.8420334927978397E-2</v>
      </c>
    </row>
    <row r="54" spans="1:7" x14ac:dyDescent="0.3">
      <c r="A54" s="158">
        <v>44197</v>
      </c>
      <c r="B54" s="19">
        <v>899.95</v>
      </c>
      <c r="C54" s="19">
        <f t="shared" si="0"/>
        <v>-1.7076541433125467E-2</v>
      </c>
      <c r="E54" s="158">
        <v>44197</v>
      </c>
      <c r="F54" s="19">
        <v>46285.77</v>
      </c>
      <c r="G54" s="19">
        <f t="shared" si="1"/>
        <v>-3.1172349501986572E-2</v>
      </c>
    </row>
    <row r="55" spans="1:7" x14ac:dyDescent="0.3">
      <c r="A55" s="158">
        <v>44228</v>
      </c>
      <c r="B55" s="19">
        <v>1039.4000000000001</v>
      </c>
      <c r="C55" s="19">
        <f t="shared" si="0"/>
        <v>0.14405969634885329</v>
      </c>
      <c r="E55" s="158">
        <v>44228</v>
      </c>
      <c r="F55" s="19">
        <v>49099.99</v>
      </c>
      <c r="G55" s="19">
        <f t="shared" si="1"/>
        <v>5.9024260694471163E-2</v>
      </c>
    </row>
    <row r="56" spans="1:7" x14ac:dyDescent="0.3">
      <c r="A56" s="158">
        <v>44256</v>
      </c>
      <c r="B56" s="19">
        <v>1005.9</v>
      </c>
      <c r="C56" s="19">
        <f t="shared" si="0"/>
        <v>-3.2760960434049094E-2</v>
      </c>
      <c r="E56" s="158">
        <v>44256</v>
      </c>
      <c r="F56" s="19">
        <v>49509.15</v>
      </c>
      <c r="G56" s="19">
        <f t="shared" si="1"/>
        <v>8.2986698426506366E-3</v>
      </c>
    </row>
    <row r="57" spans="1:7" x14ac:dyDescent="0.3">
      <c r="A57" s="158">
        <v>44287</v>
      </c>
      <c r="B57" s="19">
        <v>951.3</v>
      </c>
      <c r="C57" s="19">
        <f t="shared" si="0"/>
        <v>-5.5808471927881229E-2</v>
      </c>
      <c r="E57" s="158">
        <v>44287</v>
      </c>
      <c r="F57" s="19">
        <v>48782.36</v>
      </c>
      <c r="G57" s="19">
        <f t="shared" si="1"/>
        <v>-1.4788728875835783E-2</v>
      </c>
    </row>
    <row r="58" spans="1:7" x14ac:dyDescent="0.3">
      <c r="A58" s="158">
        <v>44317</v>
      </c>
      <c r="B58" s="19">
        <v>1012.75</v>
      </c>
      <c r="C58" s="19">
        <f t="shared" si="0"/>
        <v>6.2595211870388717E-2</v>
      </c>
      <c r="E58" s="158">
        <v>44317</v>
      </c>
      <c r="F58" s="19">
        <v>51937.440000000002</v>
      </c>
      <c r="G58" s="19">
        <f t="shared" si="1"/>
        <v>6.2671145279061508E-2</v>
      </c>
    </row>
    <row r="59" spans="1:7" x14ac:dyDescent="0.3">
      <c r="A59" s="158">
        <v>44348</v>
      </c>
      <c r="B59" s="19">
        <v>729.2</v>
      </c>
      <c r="C59" s="19">
        <f t="shared" si="0"/>
        <v>-0.32847663927829196</v>
      </c>
      <c r="E59" s="158">
        <v>44348</v>
      </c>
      <c r="F59" s="19">
        <v>52482.71</v>
      </c>
      <c r="G59" s="19">
        <f t="shared" si="1"/>
        <v>1.044386464177028E-2</v>
      </c>
    </row>
    <row r="60" spans="1:7" x14ac:dyDescent="0.3">
      <c r="A60" s="158">
        <v>44378</v>
      </c>
      <c r="B60" s="19">
        <v>761.55</v>
      </c>
      <c r="C60" s="19">
        <f t="shared" si="0"/>
        <v>4.3407787257004955E-2</v>
      </c>
      <c r="E60" s="158">
        <v>44378</v>
      </c>
      <c r="F60" s="19">
        <v>52586.84</v>
      </c>
      <c r="G60" s="19">
        <f t="shared" si="1"/>
        <v>1.9821163047147997E-3</v>
      </c>
    </row>
    <row r="61" spans="1:7" x14ac:dyDescent="0.3">
      <c r="A61" s="158">
        <v>44409</v>
      </c>
      <c r="B61" s="19">
        <v>843.3</v>
      </c>
      <c r="C61" s="19">
        <f t="shared" si="0"/>
        <v>0.10196693651908284</v>
      </c>
      <c r="E61" s="158">
        <v>44409</v>
      </c>
      <c r="F61" s="19">
        <v>57552.39</v>
      </c>
      <c r="G61" s="19">
        <f t="shared" si="1"/>
        <v>9.0229765083880378E-2</v>
      </c>
    </row>
    <row r="62" spans="1:7" x14ac:dyDescent="0.3">
      <c r="A62" s="158">
        <v>44440</v>
      </c>
      <c r="B62" s="19">
        <v>901.25</v>
      </c>
      <c r="C62" s="19">
        <f t="shared" si="0"/>
        <v>6.645992201856292E-2</v>
      </c>
      <c r="E62" s="158">
        <v>44440</v>
      </c>
      <c r="F62" s="19">
        <v>59126.36</v>
      </c>
      <c r="G62" s="19">
        <f t="shared" si="1"/>
        <v>2.6981185251009142E-2</v>
      </c>
    </row>
    <row r="63" spans="1:7" x14ac:dyDescent="0.3">
      <c r="A63" s="158">
        <v>44470</v>
      </c>
      <c r="B63" s="19">
        <v>850.85</v>
      </c>
      <c r="C63" s="19">
        <f t="shared" si="0"/>
        <v>-5.7546838781713135E-2</v>
      </c>
      <c r="E63" s="158">
        <v>44470</v>
      </c>
      <c r="F63" s="19">
        <v>59306.93</v>
      </c>
      <c r="G63" s="19">
        <f t="shared" si="1"/>
        <v>3.0493139203745284E-3</v>
      </c>
    </row>
    <row r="64" spans="1:7" x14ac:dyDescent="0.3">
      <c r="A64" s="158">
        <v>44501</v>
      </c>
      <c r="B64" s="19">
        <v>893.25</v>
      </c>
      <c r="C64" s="19">
        <f t="shared" si="0"/>
        <v>4.8630647086073488E-2</v>
      </c>
      <c r="E64" s="158">
        <v>44501</v>
      </c>
      <c r="F64" s="19">
        <v>57064.87</v>
      </c>
      <c r="G64" s="19">
        <f t="shared" si="1"/>
        <v>-3.8537471683040066E-2</v>
      </c>
    </row>
    <row r="65" spans="1:7" x14ac:dyDescent="0.3">
      <c r="A65" s="158">
        <v>44531</v>
      </c>
      <c r="B65" s="19">
        <v>886.55</v>
      </c>
      <c r="C65" s="19">
        <f t="shared" si="0"/>
        <v>-7.5289714005216989E-3</v>
      </c>
      <c r="E65" s="158">
        <v>44531</v>
      </c>
      <c r="F65" s="19">
        <v>58253.82</v>
      </c>
      <c r="G65" s="19">
        <f t="shared" si="1"/>
        <v>2.0620978795664852E-2</v>
      </c>
    </row>
    <row r="66" spans="1:7" x14ac:dyDescent="0.3">
      <c r="A66" s="158">
        <v>44562</v>
      </c>
      <c r="B66" s="19">
        <v>903.65</v>
      </c>
      <c r="C66" s="19">
        <f t="shared" si="0"/>
        <v>1.9104591778650024E-2</v>
      </c>
      <c r="E66" s="158">
        <v>44562</v>
      </c>
      <c r="F66" s="19">
        <v>58014.17</v>
      </c>
      <c r="G66" s="19">
        <f t="shared" si="1"/>
        <v>-4.1223786423822866E-3</v>
      </c>
    </row>
    <row r="67" spans="1:7" x14ac:dyDescent="0.3">
      <c r="A67" s="158">
        <v>44593</v>
      </c>
      <c r="B67" s="19">
        <v>945</v>
      </c>
      <c r="C67" s="19">
        <f t="shared" si="0"/>
        <v>4.4742810212095155E-2</v>
      </c>
      <c r="E67" s="158">
        <v>44593</v>
      </c>
      <c r="F67" s="19">
        <v>56247.28</v>
      </c>
      <c r="G67" s="19">
        <f t="shared" si="1"/>
        <v>-3.092960669252813E-2</v>
      </c>
    </row>
    <row r="68" spans="1:7" x14ac:dyDescent="0.3">
      <c r="A68" s="158">
        <v>44621</v>
      </c>
      <c r="B68" s="19">
        <v>941.05</v>
      </c>
      <c r="C68" s="19">
        <f t="shared" si="0"/>
        <v>-4.1886543571698293E-3</v>
      </c>
      <c r="E68" s="158">
        <v>44621</v>
      </c>
      <c r="F68" s="19">
        <v>58568.51</v>
      </c>
      <c r="G68" s="19">
        <f t="shared" si="1"/>
        <v>4.0439495773421867E-2</v>
      </c>
    </row>
    <row r="69" spans="1:7" x14ac:dyDescent="0.3">
      <c r="A69" s="158">
        <v>44652</v>
      </c>
      <c r="B69" s="19">
        <v>1084.3499999999999</v>
      </c>
      <c r="C69" s="19">
        <f t="shared" si="0"/>
        <v>0.14173973497784279</v>
      </c>
      <c r="E69" s="158">
        <v>44652</v>
      </c>
      <c r="F69" s="19">
        <v>57060.87</v>
      </c>
      <c r="G69" s="19">
        <f t="shared" si="1"/>
        <v>-2.6078587355803259E-2</v>
      </c>
    </row>
    <row r="70" spans="1:7" x14ac:dyDescent="0.3">
      <c r="A70" s="158">
        <v>44682</v>
      </c>
      <c r="B70" s="19">
        <v>1057.8</v>
      </c>
      <c r="C70" s="19">
        <f t="shared" ref="C70:C117" si="2">LN(B70/B69)</f>
        <v>-2.4789449482536197E-2</v>
      </c>
      <c r="E70" s="158">
        <v>44682</v>
      </c>
      <c r="F70" s="19">
        <v>55566.41</v>
      </c>
      <c r="G70" s="19">
        <f t="shared" ref="G70:G117" si="3">LN(F70/F69)</f>
        <v>-2.6539710775639064E-2</v>
      </c>
    </row>
    <row r="71" spans="1:7" x14ac:dyDescent="0.3">
      <c r="A71" s="158">
        <v>44713</v>
      </c>
      <c r="B71" s="19">
        <v>790.6</v>
      </c>
      <c r="C71" s="19">
        <f t="shared" si="2"/>
        <v>-0.2911544077692943</v>
      </c>
      <c r="E71" s="158">
        <v>44713</v>
      </c>
      <c r="F71" s="19">
        <v>53018.94</v>
      </c>
      <c r="G71" s="19">
        <f t="shared" si="3"/>
        <v>-4.6929673796435291E-2</v>
      </c>
    </row>
    <row r="72" spans="1:7" x14ac:dyDescent="0.3">
      <c r="A72" s="158">
        <v>44743</v>
      </c>
      <c r="B72" s="19">
        <v>883.15</v>
      </c>
      <c r="C72" s="19">
        <f t="shared" si="2"/>
        <v>0.11070291073886736</v>
      </c>
      <c r="E72" s="158">
        <v>44743</v>
      </c>
      <c r="F72" s="19">
        <v>57570.25</v>
      </c>
      <c r="G72" s="19">
        <f t="shared" si="3"/>
        <v>8.2356733012455843E-2</v>
      </c>
    </row>
    <row r="73" spans="1:7" x14ac:dyDescent="0.3">
      <c r="A73" s="158">
        <v>44774</v>
      </c>
      <c r="B73" s="19">
        <v>1033.8499999999999</v>
      </c>
      <c r="C73" s="19">
        <f t="shared" si="2"/>
        <v>0.15754991524532649</v>
      </c>
      <c r="E73" s="158">
        <v>44774</v>
      </c>
      <c r="F73" s="19">
        <v>59537.07</v>
      </c>
      <c r="G73" s="19">
        <f t="shared" si="3"/>
        <v>3.3593202544228998E-2</v>
      </c>
    </row>
    <row r="74" spans="1:7" x14ac:dyDescent="0.3">
      <c r="A74" s="158">
        <v>44805</v>
      </c>
      <c r="B74" s="19">
        <v>1044</v>
      </c>
      <c r="C74" s="19">
        <f t="shared" si="2"/>
        <v>9.7697915958052505E-3</v>
      </c>
      <c r="E74" s="158">
        <v>44805</v>
      </c>
      <c r="F74" s="19">
        <v>57426.92</v>
      </c>
      <c r="G74" s="19">
        <f t="shared" si="3"/>
        <v>-3.6085960830701286E-2</v>
      </c>
    </row>
    <row r="75" spans="1:7" x14ac:dyDescent="0.3">
      <c r="A75" s="158">
        <v>44835</v>
      </c>
      <c r="B75" s="19">
        <v>1050.1500000000001</v>
      </c>
      <c r="C75" s="19">
        <f t="shared" si="2"/>
        <v>5.8735216487324042E-3</v>
      </c>
      <c r="E75" s="158">
        <v>44835</v>
      </c>
      <c r="F75" s="19">
        <v>60746.59</v>
      </c>
      <c r="G75" s="19">
        <f t="shared" si="3"/>
        <v>5.6197766026638681E-2</v>
      </c>
    </row>
    <row r="76" spans="1:7" x14ac:dyDescent="0.3">
      <c r="A76" s="158">
        <v>44866</v>
      </c>
      <c r="B76" s="19">
        <v>1241.5999999999999</v>
      </c>
      <c r="C76" s="19">
        <f t="shared" si="2"/>
        <v>0.16746785933763794</v>
      </c>
      <c r="E76" s="158">
        <v>44866</v>
      </c>
      <c r="F76" s="19">
        <v>63099.65</v>
      </c>
      <c r="G76" s="19">
        <f t="shared" si="3"/>
        <v>3.8004273822622829E-2</v>
      </c>
    </row>
    <row r="77" spans="1:7" x14ac:dyDescent="0.3">
      <c r="A77" s="158">
        <v>44896</v>
      </c>
      <c r="B77" s="19">
        <v>1322.5</v>
      </c>
      <c r="C77" s="19">
        <f t="shared" si="2"/>
        <v>6.3123014303500161E-2</v>
      </c>
      <c r="E77" s="158">
        <v>44896</v>
      </c>
      <c r="F77" s="19">
        <v>60840.74</v>
      </c>
      <c r="G77" s="19">
        <f t="shared" si="3"/>
        <v>-3.6455592412848278E-2</v>
      </c>
    </row>
    <row r="78" spans="1:7" x14ac:dyDescent="0.3">
      <c r="A78" s="158">
        <v>44927</v>
      </c>
      <c r="B78" s="19">
        <v>1147.8499999999999</v>
      </c>
      <c r="C78" s="19">
        <f t="shared" si="2"/>
        <v>-0.14163325741087426</v>
      </c>
      <c r="E78" s="158">
        <v>44927</v>
      </c>
      <c r="F78" s="19">
        <v>59549.9</v>
      </c>
      <c r="G78" s="19">
        <f t="shared" si="3"/>
        <v>-2.1445013828973288E-2</v>
      </c>
    </row>
    <row r="79" spans="1:7" x14ac:dyDescent="0.3">
      <c r="A79" s="158">
        <v>44958</v>
      </c>
      <c r="B79" s="19">
        <v>1302.75</v>
      </c>
      <c r="C79" s="19">
        <f t="shared" si="2"/>
        <v>0.12658678746774368</v>
      </c>
      <c r="E79" s="158">
        <v>44958</v>
      </c>
      <c r="F79" s="19">
        <v>58962.12</v>
      </c>
      <c r="G79" s="19">
        <f t="shared" si="3"/>
        <v>-9.9194127233825542E-3</v>
      </c>
    </row>
    <row r="80" spans="1:7" x14ac:dyDescent="0.3">
      <c r="A80" s="158">
        <v>44986</v>
      </c>
      <c r="B80" s="19">
        <v>1387.25</v>
      </c>
      <c r="C80" s="19">
        <f t="shared" si="2"/>
        <v>6.2845955416686528E-2</v>
      </c>
      <c r="E80" s="158">
        <v>44986</v>
      </c>
      <c r="F80" s="19">
        <v>58991.519999999997</v>
      </c>
      <c r="G80" s="19">
        <f t="shared" si="3"/>
        <v>4.9850094679280998E-4</v>
      </c>
    </row>
    <row r="81" spans="1:7" x14ac:dyDescent="0.3">
      <c r="A81" s="158">
        <v>45017</v>
      </c>
      <c r="B81" s="19">
        <v>1443.8</v>
      </c>
      <c r="C81" s="19">
        <f t="shared" si="2"/>
        <v>3.995515649905005E-2</v>
      </c>
      <c r="E81" s="158">
        <v>45017</v>
      </c>
      <c r="F81" s="19">
        <v>61112.44</v>
      </c>
      <c r="G81" s="19">
        <f t="shared" si="3"/>
        <v>3.5321741346229396E-2</v>
      </c>
    </row>
    <row r="82" spans="1:7" x14ac:dyDescent="0.3">
      <c r="A82" s="158">
        <v>45047</v>
      </c>
      <c r="B82" s="19">
        <v>1693.55</v>
      </c>
      <c r="C82" s="19">
        <f t="shared" si="2"/>
        <v>0.15954839077000704</v>
      </c>
      <c r="E82" s="158">
        <v>45047</v>
      </c>
      <c r="F82" s="19">
        <v>62622.239999999998</v>
      </c>
      <c r="G82" s="19">
        <f t="shared" si="3"/>
        <v>2.4405040469134852E-2</v>
      </c>
    </row>
    <row r="83" spans="1:7" x14ac:dyDescent="0.3">
      <c r="A83" s="158">
        <v>45078</v>
      </c>
      <c r="B83" s="19">
        <v>800.5</v>
      </c>
      <c r="C83" s="19">
        <f t="shared" si="2"/>
        <v>-0.74934566403829839</v>
      </c>
      <c r="E83" s="158">
        <v>45078</v>
      </c>
      <c r="F83" s="19">
        <v>64718.559999999998</v>
      </c>
      <c r="G83" s="19">
        <f t="shared" si="3"/>
        <v>3.2927536234183027E-2</v>
      </c>
    </row>
    <row r="84" spans="1:7" x14ac:dyDescent="0.3">
      <c r="A84" s="158">
        <v>45108</v>
      </c>
      <c r="B84" s="19">
        <v>804.3</v>
      </c>
      <c r="C84" s="19">
        <f t="shared" si="2"/>
        <v>4.7358014732539139E-3</v>
      </c>
      <c r="E84" s="158">
        <v>45108</v>
      </c>
      <c r="F84" s="19">
        <v>66527.67</v>
      </c>
      <c r="G84" s="19">
        <f t="shared" si="3"/>
        <v>2.7569928534107949E-2</v>
      </c>
    </row>
    <row r="85" spans="1:7" x14ac:dyDescent="0.3">
      <c r="A85" s="158">
        <v>45139</v>
      </c>
      <c r="B85" s="19">
        <v>899.75</v>
      </c>
      <c r="C85" s="19">
        <f t="shared" si="2"/>
        <v>0.1121446130491169</v>
      </c>
      <c r="E85" s="158">
        <v>45139</v>
      </c>
      <c r="F85" s="19">
        <v>64831.41</v>
      </c>
      <c r="G85" s="19">
        <f t="shared" si="3"/>
        <v>-2.5827743205255813E-2</v>
      </c>
    </row>
    <row r="86" spans="1:7" x14ac:dyDescent="0.3">
      <c r="A86" s="158">
        <v>45170</v>
      </c>
      <c r="B86" s="19">
        <v>946.1</v>
      </c>
      <c r="C86" s="19">
        <f t="shared" si="2"/>
        <v>5.0231324751258487E-2</v>
      </c>
      <c r="E86" s="158">
        <v>45170</v>
      </c>
      <c r="F86" s="19">
        <v>65828.41</v>
      </c>
      <c r="G86" s="19">
        <f t="shared" si="3"/>
        <v>1.5261299925833091E-2</v>
      </c>
    </row>
    <row r="87" spans="1:7" x14ac:dyDescent="0.3">
      <c r="A87" s="158">
        <v>45200</v>
      </c>
      <c r="B87" s="19">
        <v>909.55</v>
      </c>
      <c r="C87" s="19">
        <f t="shared" si="2"/>
        <v>-3.9398300002173522E-2</v>
      </c>
      <c r="E87" s="158">
        <v>45200</v>
      </c>
      <c r="F87" s="19">
        <v>63874.93</v>
      </c>
      <c r="G87" s="19">
        <f t="shared" si="3"/>
        <v>-3.0124555433559918E-2</v>
      </c>
    </row>
    <row r="88" spans="1:7" x14ac:dyDescent="0.3">
      <c r="A88" s="158">
        <v>45231</v>
      </c>
      <c r="B88" s="19">
        <v>1105.3499999999999</v>
      </c>
      <c r="C88" s="19">
        <f t="shared" si="2"/>
        <v>0.19496733417289283</v>
      </c>
      <c r="E88" s="158">
        <v>45231</v>
      </c>
      <c r="F88" s="19">
        <v>66988.44</v>
      </c>
      <c r="G88" s="19">
        <f t="shared" si="3"/>
        <v>4.7593114558401692E-2</v>
      </c>
    </row>
    <row r="89" spans="1:7" x14ac:dyDescent="0.3">
      <c r="A89" s="158">
        <v>45261</v>
      </c>
      <c r="B89" s="19">
        <v>1236.55</v>
      </c>
      <c r="C89" s="19">
        <f t="shared" si="2"/>
        <v>0.11216321697934964</v>
      </c>
      <c r="E89" s="158">
        <v>45261</v>
      </c>
      <c r="F89" s="19">
        <v>72240.259999999995</v>
      </c>
      <c r="G89" s="19">
        <f t="shared" si="3"/>
        <v>7.5477441025058684E-2</v>
      </c>
    </row>
    <row r="90" spans="1:7" x14ac:dyDescent="0.3">
      <c r="A90" s="158">
        <v>45292</v>
      </c>
      <c r="B90" s="19">
        <v>1280.0999999999999</v>
      </c>
      <c r="C90" s="19">
        <f t="shared" si="2"/>
        <v>3.4612956001596348E-2</v>
      </c>
      <c r="E90" s="158">
        <v>45292</v>
      </c>
      <c r="F90" s="19">
        <v>71752.11</v>
      </c>
      <c r="G90" s="19">
        <f t="shared" si="3"/>
        <v>-6.7802463434785704E-3</v>
      </c>
    </row>
    <row r="91" spans="1:7" x14ac:dyDescent="0.3">
      <c r="A91" s="158">
        <v>45323</v>
      </c>
      <c r="B91" s="19">
        <v>1408.6</v>
      </c>
      <c r="C91" s="19">
        <f t="shared" si="2"/>
        <v>9.5658103449246037E-2</v>
      </c>
      <c r="E91" s="158">
        <v>45323</v>
      </c>
      <c r="F91" s="19">
        <v>72500.3</v>
      </c>
      <c r="G91" s="19">
        <f t="shared" si="3"/>
        <v>1.0373437910263655E-2</v>
      </c>
    </row>
    <row r="92" spans="1:7" x14ac:dyDescent="0.3">
      <c r="A92" s="158">
        <v>45352</v>
      </c>
      <c r="B92" s="19">
        <v>1398.1</v>
      </c>
      <c r="C92" s="19">
        <f t="shared" si="2"/>
        <v>-7.4821313175311172E-3</v>
      </c>
      <c r="E92" s="158">
        <v>45352</v>
      </c>
      <c r="F92" s="19">
        <v>73651.350000000006</v>
      </c>
      <c r="G92" s="19">
        <f t="shared" si="3"/>
        <v>1.5751772896445967E-2</v>
      </c>
    </row>
    <row r="93" spans="1:7" x14ac:dyDescent="0.3">
      <c r="A93" s="158">
        <v>45383</v>
      </c>
      <c r="B93" s="19">
        <v>1479</v>
      </c>
      <c r="C93" s="19">
        <f t="shared" si="2"/>
        <v>5.6252011717020885E-2</v>
      </c>
      <c r="E93" s="158">
        <v>45383</v>
      </c>
      <c r="F93" s="19">
        <v>74482.78</v>
      </c>
      <c r="G93" s="19">
        <f t="shared" si="3"/>
        <v>1.1225485049184242E-2</v>
      </c>
    </row>
    <row r="94" spans="1:7" x14ac:dyDescent="0.3">
      <c r="A94" s="158">
        <v>45413</v>
      </c>
      <c r="B94" s="19">
        <v>1425.55</v>
      </c>
      <c r="C94" s="19">
        <f t="shared" si="2"/>
        <v>-3.6808479561064963E-2</v>
      </c>
      <c r="E94" s="158">
        <v>45413</v>
      </c>
      <c r="F94" s="19">
        <v>73961.31</v>
      </c>
      <c r="G94" s="19">
        <f t="shared" si="3"/>
        <v>-7.0258390897624638E-3</v>
      </c>
    </row>
    <row r="95" spans="1:7" x14ac:dyDescent="0.3">
      <c r="A95" s="158">
        <v>45444</v>
      </c>
      <c r="B95" s="19">
        <v>1629.75</v>
      </c>
      <c r="C95" s="19">
        <f t="shared" si="2"/>
        <v>0.13386892465491385</v>
      </c>
      <c r="E95" s="158">
        <v>45444</v>
      </c>
      <c r="F95" s="19">
        <v>79032.73</v>
      </c>
      <c r="G95" s="19">
        <f t="shared" si="3"/>
        <v>6.6319951825398904E-2</v>
      </c>
    </row>
    <row r="96" spans="1:7" x14ac:dyDescent="0.3">
      <c r="A96" s="158">
        <v>45474</v>
      </c>
      <c r="B96" s="19">
        <v>1577.7</v>
      </c>
      <c r="C96" s="19">
        <f t="shared" si="2"/>
        <v>-3.2458538541240534E-2</v>
      </c>
      <c r="E96" s="158">
        <v>45474</v>
      </c>
      <c r="F96" s="19">
        <v>81741.34</v>
      </c>
      <c r="G96" s="19">
        <f t="shared" si="3"/>
        <v>3.3697800980014361E-2</v>
      </c>
    </row>
    <row r="97" spans="1:7" x14ac:dyDescent="0.3">
      <c r="A97" s="158">
        <v>45505</v>
      </c>
      <c r="B97" s="19">
        <v>1500.95</v>
      </c>
      <c r="C97" s="19">
        <f t="shared" si="2"/>
        <v>-4.9869849310690155E-2</v>
      </c>
      <c r="E97" s="158">
        <v>45505</v>
      </c>
      <c r="F97" s="19">
        <v>82365.77</v>
      </c>
      <c r="G97" s="19">
        <f t="shared" si="3"/>
        <v>7.6100665419577039E-3</v>
      </c>
    </row>
    <row r="98" spans="1:7" x14ac:dyDescent="0.3">
      <c r="A98" s="158">
        <v>45536</v>
      </c>
      <c r="B98" s="19">
        <v>606.20000000000005</v>
      </c>
      <c r="C98" s="19">
        <f t="shared" si="2"/>
        <v>-0.9066435553290153</v>
      </c>
      <c r="E98" s="158">
        <v>45536</v>
      </c>
      <c r="F98" s="19">
        <v>84299.78</v>
      </c>
      <c r="G98" s="19">
        <f t="shared" si="3"/>
        <v>2.3209317290898722E-2</v>
      </c>
    </row>
    <row r="99" spans="1:7" x14ac:dyDescent="0.3">
      <c r="A99" s="158">
        <v>45566</v>
      </c>
      <c r="B99" s="19">
        <v>598.15</v>
      </c>
      <c r="C99" s="19">
        <f t="shared" si="2"/>
        <v>-1.3368406006789639E-2</v>
      </c>
      <c r="E99" s="158">
        <v>45566</v>
      </c>
      <c r="F99" s="19">
        <v>79389.06</v>
      </c>
      <c r="G99" s="19">
        <f t="shared" si="3"/>
        <v>-6.0018679892465641E-2</v>
      </c>
    </row>
    <row r="100" spans="1:7" x14ac:dyDescent="0.3">
      <c r="A100" s="158">
        <v>45597</v>
      </c>
      <c r="B100" s="19">
        <v>621</v>
      </c>
      <c r="C100" s="19">
        <f t="shared" si="2"/>
        <v>3.7489523316565555E-2</v>
      </c>
      <c r="E100" s="158">
        <v>45597</v>
      </c>
      <c r="F100" s="19">
        <v>79802.789999999994</v>
      </c>
      <c r="G100" s="19">
        <f t="shared" si="3"/>
        <v>5.1978908658334511E-3</v>
      </c>
    </row>
    <row r="101" spans="1:7" x14ac:dyDescent="0.3">
      <c r="A101" s="158">
        <v>45627</v>
      </c>
      <c r="B101" s="19">
        <v>638.45000000000005</v>
      </c>
      <c r="C101" s="19">
        <f t="shared" si="2"/>
        <v>2.7712281937211456E-2</v>
      </c>
      <c r="E101" s="158">
        <v>45627</v>
      </c>
      <c r="F101" s="19">
        <v>78139.009999999995</v>
      </c>
      <c r="G101" s="19">
        <f t="shared" si="3"/>
        <v>-2.1069046271385661E-2</v>
      </c>
    </row>
    <row r="102" spans="1:7" x14ac:dyDescent="0.3">
      <c r="A102" s="158">
        <v>45658</v>
      </c>
      <c r="B102" s="19">
        <v>536.70000000000005</v>
      </c>
      <c r="C102" s="19">
        <f t="shared" si="2"/>
        <v>-0.17360408468790692</v>
      </c>
      <c r="E102" s="158">
        <v>45658</v>
      </c>
      <c r="F102" s="19">
        <v>77500.570000000007</v>
      </c>
      <c r="G102" s="19">
        <f t="shared" si="3"/>
        <v>-8.2041288082573289E-3</v>
      </c>
    </row>
    <row r="103" spans="1:7" x14ac:dyDescent="0.3">
      <c r="A103" s="158">
        <v>45689</v>
      </c>
      <c r="B103" s="19">
        <v>435.45</v>
      </c>
      <c r="C103" s="19">
        <f t="shared" si="2"/>
        <v>-0.20905930004403472</v>
      </c>
      <c r="E103" s="158">
        <v>45689</v>
      </c>
      <c r="F103" s="19">
        <v>73198.100000000006</v>
      </c>
      <c r="G103" s="19">
        <f t="shared" si="3"/>
        <v>-5.7115826824721654E-2</v>
      </c>
    </row>
    <row r="104" spans="1:7" x14ac:dyDescent="0.3">
      <c r="A104" s="158">
        <v>45717</v>
      </c>
      <c r="B104" s="19">
        <v>539.6</v>
      </c>
      <c r="C104" s="19">
        <f t="shared" si="2"/>
        <v>0.21444814519485225</v>
      </c>
      <c r="E104" s="158">
        <v>45717</v>
      </c>
      <c r="F104" s="19">
        <v>77414.92</v>
      </c>
      <c r="G104" s="19">
        <f t="shared" si="3"/>
        <v>5.6010062530561719E-2</v>
      </c>
    </row>
    <row r="105" spans="1:7" x14ac:dyDescent="0.3">
      <c r="A105" s="158">
        <v>45748</v>
      </c>
      <c r="B105" s="19">
        <v>521</v>
      </c>
      <c r="C105" s="19">
        <f t="shared" si="2"/>
        <v>-3.5078082580233899E-2</v>
      </c>
      <c r="E105" s="158">
        <v>45748</v>
      </c>
      <c r="F105" s="19">
        <v>80242.240000000005</v>
      </c>
      <c r="G105" s="19">
        <f t="shared" si="3"/>
        <v>3.5870532638470627E-2</v>
      </c>
    </row>
    <row r="106" spans="1:7" x14ac:dyDescent="0.3">
      <c r="A106" s="158">
        <v>45778</v>
      </c>
      <c r="B106" s="19">
        <v>475.9</v>
      </c>
      <c r="C106" s="19">
        <f t="shared" si="2"/>
        <v>-9.05422936263022E-2</v>
      </c>
      <c r="E106" s="158">
        <v>45778</v>
      </c>
      <c r="F106" s="19">
        <v>81451.009999999995</v>
      </c>
      <c r="G106" s="19">
        <f t="shared" si="3"/>
        <v>1.4951675701445904E-2</v>
      </c>
    </row>
    <row r="107" spans="1:7" x14ac:dyDescent="0.3">
      <c r="A107" s="158">
        <v>45809</v>
      </c>
      <c r="B107" s="19">
        <v>457.55</v>
      </c>
      <c r="C107" s="19">
        <f t="shared" si="2"/>
        <v>-3.9321579765677468E-2</v>
      </c>
      <c r="E107" s="158">
        <v>45809</v>
      </c>
      <c r="F107" s="19">
        <v>83606.460000000006</v>
      </c>
      <c r="G107" s="19">
        <f t="shared" si="3"/>
        <v>2.6119054615824297E-2</v>
      </c>
    </row>
    <row r="108" spans="1:7" x14ac:dyDescent="0.3">
      <c r="A108" s="158">
        <v>45839</v>
      </c>
      <c r="B108" s="19">
        <v>522.6</v>
      </c>
      <c r="C108" s="19">
        <f t="shared" si="2"/>
        <v>0.13293018472512502</v>
      </c>
      <c r="E108" s="158">
        <v>45839</v>
      </c>
      <c r="F108" s="19">
        <v>81185.58</v>
      </c>
      <c r="G108" s="19">
        <f t="shared" si="3"/>
        <v>-2.9383144642107083E-2</v>
      </c>
    </row>
    <row r="109" spans="1:7" x14ac:dyDescent="0.3">
      <c r="A109" s="158">
        <v>45870</v>
      </c>
      <c r="B109" s="19">
        <v>486.5</v>
      </c>
      <c r="C109" s="19">
        <f t="shared" si="2"/>
        <v>-7.1579451460452442E-2</v>
      </c>
      <c r="E109" s="158">
        <v>45870</v>
      </c>
      <c r="F109" s="19">
        <v>79809.649999999994</v>
      </c>
      <c r="G109" s="19">
        <f t="shared" si="3"/>
        <v>-1.7093220727498189E-2</v>
      </c>
    </row>
    <row r="110" spans="1:7" x14ac:dyDescent="0.3">
      <c r="A110" s="158">
        <v>45901</v>
      </c>
      <c r="B110" s="19">
        <v>443.55</v>
      </c>
      <c r="C110" s="19">
        <f t="shared" si="2"/>
        <v>-9.2426366659463785E-2</v>
      </c>
      <c r="E110" s="158">
        <v>45901</v>
      </c>
      <c r="F110" s="19">
        <v>80267.62</v>
      </c>
      <c r="G110" s="19">
        <f t="shared" si="3"/>
        <v>5.7218773094962309E-3</v>
      </c>
    </row>
    <row r="111" spans="1:7" x14ac:dyDescent="0.3">
      <c r="A111" s="158">
        <v>45931</v>
      </c>
      <c r="B111" s="19">
        <v>469.7</v>
      </c>
      <c r="C111" s="19">
        <f t="shared" si="2"/>
        <v>5.7283658066353438E-2</v>
      </c>
      <c r="E111" s="158">
        <v>45931</v>
      </c>
      <c r="F111" s="19">
        <v>83938.71</v>
      </c>
      <c r="G111" s="19">
        <f t="shared" si="3"/>
        <v>4.4720587894832166E-2</v>
      </c>
    </row>
    <row r="112" spans="1:7" x14ac:dyDescent="0.3">
      <c r="A112" s="158">
        <v>45962</v>
      </c>
      <c r="B112" s="19">
        <v>481.5</v>
      </c>
      <c r="C112" s="19">
        <f t="shared" si="2"/>
        <v>2.4812038205230921E-2</v>
      </c>
      <c r="E112" s="158">
        <v>45962</v>
      </c>
      <c r="F112" s="19">
        <v>85706.67</v>
      </c>
      <c r="G112" s="19">
        <f t="shared" si="3"/>
        <v>2.0843762546169674E-2</v>
      </c>
    </row>
    <row r="113" spans="1:7" x14ac:dyDescent="0.3">
      <c r="A113" s="158">
        <v>45992</v>
      </c>
      <c r="B113" s="19">
        <v>489.85</v>
      </c>
      <c r="C113" s="19">
        <f t="shared" si="2"/>
        <v>1.7192990552470994E-2</v>
      </c>
      <c r="E113" s="158">
        <v>45992</v>
      </c>
      <c r="F113" s="19">
        <v>85220.6</v>
      </c>
      <c r="G113" s="19">
        <f t="shared" si="3"/>
        <v>-5.6874635656588811E-3</v>
      </c>
    </row>
    <row r="114" spans="1:7" x14ac:dyDescent="0.3">
      <c r="A114" s="158">
        <v>46023</v>
      </c>
      <c r="B114" s="19">
        <v>470.85</v>
      </c>
      <c r="C114" s="19">
        <f t="shared" si="2"/>
        <v>-3.9559649834579047E-2</v>
      </c>
      <c r="E114" s="158">
        <v>46023</v>
      </c>
      <c r="F114" s="19">
        <v>82269.78</v>
      </c>
      <c r="G114" s="19">
        <f t="shared" si="3"/>
        <v>-3.5239341592309695E-2</v>
      </c>
    </row>
    <row r="115" spans="1:7" x14ac:dyDescent="0.3">
      <c r="A115" s="158">
        <v>46054</v>
      </c>
      <c r="B115" s="19">
        <v>450.95</v>
      </c>
      <c r="C115" s="19">
        <f t="shared" si="2"/>
        <v>-4.3183103344355191E-2</v>
      </c>
      <c r="E115" s="158">
        <v>46054</v>
      </c>
      <c r="F115" s="19">
        <v>81287.19</v>
      </c>
      <c r="G115" s="19">
        <f t="shared" si="3"/>
        <v>-1.2015407491952049E-2</v>
      </c>
    </row>
    <row r="116" spans="1:7" x14ac:dyDescent="0.3">
      <c r="A116" s="158">
        <v>46082</v>
      </c>
      <c r="B116" s="19">
        <v>384.05</v>
      </c>
      <c r="C116" s="19">
        <f t="shared" si="2"/>
        <v>-0.16058371616702619</v>
      </c>
      <c r="E116" s="158">
        <v>46082</v>
      </c>
      <c r="F116" s="19">
        <v>71947.55</v>
      </c>
      <c r="G116" s="19">
        <f t="shared" si="3"/>
        <v>-0.12205105823450385</v>
      </c>
    </row>
    <row r="117" spans="1:7" x14ac:dyDescent="0.3">
      <c r="A117" s="158">
        <v>46113</v>
      </c>
      <c r="B117" s="19">
        <v>403.9</v>
      </c>
      <c r="C117" s="19">
        <f t="shared" si="2"/>
        <v>5.0394570124676179E-2</v>
      </c>
      <c r="E117" s="158">
        <v>46113</v>
      </c>
      <c r="F117" s="19">
        <v>73319.55</v>
      </c>
      <c r="G117" s="19">
        <f t="shared" si="3"/>
        <v>1.8889904144114556E-2</v>
      </c>
    </row>
    <row r="118" spans="1:7" x14ac:dyDescent="0.3">
      <c r="A118" s="20"/>
      <c r="E118" s="20"/>
    </row>
    <row r="119" spans="1:7" x14ac:dyDescent="0.3">
      <c r="A119" s="20"/>
      <c r="E119" s="20"/>
    </row>
    <row r="120" spans="1:7" x14ac:dyDescent="0.3">
      <c r="A120" s="20"/>
      <c r="E120" s="20"/>
    </row>
    <row r="121" spans="1:7" x14ac:dyDescent="0.3">
      <c r="A121" s="20"/>
      <c r="E121" s="20"/>
    </row>
    <row r="122" spans="1:7" x14ac:dyDescent="0.3">
      <c r="A122" s="20"/>
      <c r="E122" s="20"/>
    </row>
    <row r="123" spans="1:7" x14ac:dyDescent="0.3">
      <c r="A123" s="20"/>
      <c r="E123" s="20"/>
    </row>
    <row r="124" spans="1:7" x14ac:dyDescent="0.3">
      <c r="A124" s="20"/>
      <c r="E124" s="20"/>
    </row>
    <row r="125" spans="1:7" x14ac:dyDescent="0.3">
      <c r="A125" s="20"/>
      <c r="E125" s="20"/>
    </row>
    <row r="126" spans="1:7" x14ac:dyDescent="0.3">
      <c r="A126" s="20"/>
      <c r="E126" s="20"/>
    </row>
    <row r="127" spans="1:7" x14ac:dyDescent="0.3">
      <c r="A127" s="20"/>
      <c r="E127" s="20"/>
    </row>
    <row r="128" spans="1:7" x14ac:dyDescent="0.3">
      <c r="A128" s="20"/>
      <c r="E128" s="20"/>
    </row>
    <row r="129" spans="1:5" x14ac:dyDescent="0.3">
      <c r="A129" s="20"/>
      <c r="E129" s="20"/>
    </row>
    <row r="130" spans="1:5" x14ac:dyDescent="0.3">
      <c r="A130" s="20"/>
      <c r="E130" s="20"/>
    </row>
    <row r="131" spans="1:5" x14ac:dyDescent="0.3">
      <c r="A131" s="20"/>
      <c r="E131" s="20"/>
    </row>
    <row r="132" spans="1:5" x14ac:dyDescent="0.3">
      <c r="A132" s="20"/>
      <c r="E132" s="20"/>
    </row>
    <row r="133" spans="1:5" x14ac:dyDescent="0.3">
      <c r="A133" s="20"/>
      <c r="E133" s="20"/>
    </row>
    <row r="134" spans="1:5" x14ac:dyDescent="0.3">
      <c r="A134" s="20"/>
      <c r="E134" s="20"/>
    </row>
    <row r="135" spans="1:5" x14ac:dyDescent="0.3">
      <c r="A135" s="20"/>
      <c r="E135" s="20"/>
    </row>
    <row r="136" spans="1:5" x14ac:dyDescent="0.3">
      <c r="A136" s="20"/>
      <c r="E136" s="20"/>
    </row>
    <row r="137" spans="1:5" x14ac:dyDescent="0.3">
      <c r="A137" s="20"/>
      <c r="E137" s="20"/>
    </row>
    <row r="138" spans="1:5" x14ac:dyDescent="0.3">
      <c r="A138" s="20"/>
      <c r="E138" s="20"/>
    </row>
    <row r="139" spans="1:5" x14ac:dyDescent="0.3">
      <c r="A139" s="20"/>
      <c r="E139" s="20"/>
    </row>
    <row r="140" spans="1:5" x14ac:dyDescent="0.3">
      <c r="A140" s="20"/>
      <c r="E140" s="20"/>
    </row>
    <row r="141" spans="1:5" x14ac:dyDescent="0.3">
      <c r="A141" s="20"/>
      <c r="E141" s="20"/>
    </row>
    <row r="142" spans="1:5" x14ac:dyDescent="0.3">
      <c r="A142" s="20"/>
      <c r="E142" s="20"/>
    </row>
    <row r="143" spans="1:5" x14ac:dyDescent="0.3">
      <c r="A143" s="20"/>
      <c r="E143" s="20"/>
    </row>
    <row r="144" spans="1:5" x14ac:dyDescent="0.3">
      <c r="A144" s="20"/>
      <c r="E144" s="20"/>
    </row>
    <row r="145" spans="1:5" x14ac:dyDescent="0.3">
      <c r="A145" s="20"/>
      <c r="E145" s="20"/>
    </row>
    <row r="146" spans="1:5" x14ac:dyDescent="0.3">
      <c r="A146" s="20"/>
      <c r="E146" s="20"/>
    </row>
    <row r="147" spans="1:5" x14ac:dyDescent="0.3">
      <c r="A147" s="20"/>
      <c r="E147" s="20"/>
    </row>
    <row r="148" spans="1:5" x14ac:dyDescent="0.3">
      <c r="A148" s="20"/>
      <c r="E148" s="20"/>
    </row>
    <row r="149" spans="1:5" x14ac:dyDescent="0.3">
      <c r="A149" s="20"/>
      <c r="E149" s="20"/>
    </row>
    <row r="150" spans="1:5" x14ac:dyDescent="0.3">
      <c r="A150" s="20"/>
      <c r="E150" s="20"/>
    </row>
    <row r="151" spans="1:5" x14ac:dyDescent="0.3">
      <c r="A151" s="20"/>
      <c r="E151" s="20"/>
    </row>
    <row r="152" spans="1:5" x14ac:dyDescent="0.3">
      <c r="A152" s="20"/>
      <c r="E152" s="20"/>
    </row>
    <row r="153" spans="1:5" x14ac:dyDescent="0.3">
      <c r="A153" s="20"/>
      <c r="E153" s="20"/>
    </row>
    <row r="154" spans="1:5" x14ac:dyDescent="0.3">
      <c r="A154" s="20"/>
      <c r="E154" s="20"/>
    </row>
    <row r="155" spans="1:5" x14ac:dyDescent="0.3">
      <c r="A155" s="20"/>
      <c r="E155" s="20"/>
    </row>
    <row r="156" spans="1:5" x14ac:dyDescent="0.3">
      <c r="A156" s="20"/>
      <c r="E156" s="20"/>
    </row>
    <row r="157" spans="1:5" x14ac:dyDescent="0.3">
      <c r="A157" s="20"/>
      <c r="E157" s="20"/>
    </row>
    <row r="158" spans="1:5" x14ac:dyDescent="0.3">
      <c r="A158" s="20"/>
      <c r="E158" s="20"/>
    </row>
    <row r="159" spans="1:5" x14ac:dyDescent="0.3">
      <c r="A159" s="20"/>
      <c r="E159" s="20"/>
    </row>
    <row r="160" spans="1:5" x14ac:dyDescent="0.3">
      <c r="A160" s="20"/>
      <c r="E160" s="20"/>
    </row>
    <row r="161" spans="1:5" x14ac:dyDescent="0.3">
      <c r="A161" s="20"/>
      <c r="E161" s="20"/>
    </row>
    <row r="162" spans="1:5" x14ac:dyDescent="0.3">
      <c r="A162" s="20"/>
      <c r="E162" s="20"/>
    </row>
    <row r="163" spans="1:5" x14ac:dyDescent="0.3">
      <c r="A163" s="20"/>
      <c r="E163" s="20"/>
    </row>
    <row r="164" spans="1:5" x14ac:dyDescent="0.3">
      <c r="A164" s="20"/>
      <c r="E164" s="20"/>
    </row>
    <row r="165" spans="1:5" x14ac:dyDescent="0.3">
      <c r="A165" s="20"/>
      <c r="E165" s="20"/>
    </row>
    <row r="166" spans="1:5" x14ac:dyDescent="0.3">
      <c r="A166" s="20"/>
      <c r="E166" s="20"/>
    </row>
    <row r="167" spans="1:5" x14ac:dyDescent="0.3">
      <c r="A167" s="20"/>
      <c r="E167" s="20"/>
    </row>
    <row r="168" spans="1:5" x14ac:dyDescent="0.3">
      <c r="A168" s="20"/>
      <c r="E168" s="20"/>
    </row>
    <row r="169" spans="1:5" x14ac:dyDescent="0.3">
      <c r="A169" s="20"/>
      <c r="E169" s="20"/>
    </row>
    <row r="170" spans="1:5" x14ac:dyDescent="0.3">
      <c r="A170" s="20"/>
      <c r="E170" s="20"/>
    </row>
    <row r="171" spans="1:5" x14ac:dyDescent="0.3">
      <c r="A171" s="20"/>
      <c r="E171" s="20"/>
    </row>
    <row r="172" spans="1:5" x14ac:dyDescent="0.3">
      <c r="A172" s="20"/>
      <c r="E172" s="20"/>
    </row>
    <row r="173" spans="1:5" x14ac:dyDescent="0.3">
      <c r="A173" s="20"/>
      <c r="E173" s="20"/>
    </row>
    <row r="174" spans="1:5" x14ac:dyDescent="0.3">
      <c r="A174" s="20"/>
      <c r="E174" s="20"/>
    </row>
    <row r="175" spans="1:5" x14ac:dyDescent="0.3">
      <c r="A175" s="20"/>
      <c r="E175" s="20"/>
    </row>
    <row r="176" spans="1:5" x14ac:dyDescent="0.3">
      <c r="A176" s="20"/>
      <c r="E176" s="20"/>
    </row>
    <row r="177" spans="1:5" x14ac:dyDescent="0.3">
      <c r="A177" s="20"/>
      <c r="E177" s="20"/>
    </row>
    <row r="178" spans="1:5" x14ac:dyDescent="0.3">
      <c r="A178" s="20"/>
      <c r="E178" s="20"/>
    </row>
    <row r="179" spans="1:5" x14ac:dyDescent="0.3">
      <c r="A179" s="20"/>
      <c r="E179" s="20"/>
    </row>
    <row r="180" spans="1:5" x14ac:dyDescent="0.3">
      <c r="A180" s="20"/>
      <c r="E180" s="20"/>
    </row>
    <row r="181" spans="1:5" x14ac:dyDescent="0.3">
      <c r="A181" s="20"/>
      <c r="E181" s="20"/>
    </row>
    <row r="182" spans="1:5" x14ac:dyDescent="0.3">
      <c r="A182" s="20"/>
      <c r="E182" s="20"/>
    </row>
    <row r="183" spans="1:5" x14ac:dyDescent="0.3">
      <c r="A183" s="20"/>
      <c r="E183" s="20"/>
    </row>
    <row r="184" spans="1:5" x14ac:dyDescent="0.3">
      <c r="A184" s="20"/>
      <c r="E184" s="20"/>
    </row>
    <row r="185" spans="1:5" x14ac:dyDescent="0.3">
      <c r="A185" s="20"/>
      <c r="E185" s="20"/>
    </row>
    <row r="186" spans="1:5" x14ac:dyDescent="0.3">
      <c r="A186" s="20"/>
      <c r="E186" s="20"/>
    </row>
    <row r="187" spans="1:5" x14ac:dyDescent="0.3">
      <c r="A187" s="20"/>
      <c r="E187" s="20"/>
    </row>
    <row r="188" spans="1:5" x14ac:dyDescent="0.3">
      <c r="A188" s="20"/>
      <c r="E188" s="20"/>
    </row>
    <row r="189" spans="1:5" x14ac:dyDescent="0.3">
      <c r="A189" s="20"/>
      <c r="E189" s="20"/>
    </row>
    <row r="190" spans="1:5" x14ac:dyDescent="0.3">
      <c r="A190" s="20"/>
      <c r="E190" s="20"/>
    </row>
    <row r="191" spans="1:5" x14ac:dyDescent="0.3">
      <c r="A191" s="20"/>
      <c r="E191" s="20"/>
    </row>
    <row r="192" spans="1:5" x14ac:dyDescent="0.3">
      <c r="A192" s="20"/>
      <c r="E192" s="20"/>
    </row>
    <row r="193" spans="1:5" x14ac:dyDescent="0.3">
      <c r="A193" s="20"/>
      <c r="E193" s="20"/>
    </row>
    <row r="194" spans="1:5" x14ac:dyDescent="0.3">
      <c r="A194" s="20"/>
      <c r="E194" s="20"/>
    </row>
    <row r="195" spans="1:5" x14ac:dyDescent="0.3">
      <c r="A195" s="20"/>
      <c r="E195" s="20"/>
    </row>
    <row r="196" spans="1:5" x14ac:dyDescent="0.3">
      <c r="A196" s="20"/>
      <c r="E196" s="20"/>
    </row>
    <row r="197" spans="1:5" x14ac:dyDescent="0.3">
      <c r="A197" s="20"/>
      <c r="E197" s="20"/>
    </row>
    <row r="198" spans="1:5" x14ac:dyDescent="0.3">
      <c r="A198" s="20"/>
      <c r="E198" s="20"/>
    </row>
    <row r="199" spans="1:5" x14ac:dyDescent="0.3">
      <c r="A199" s="20"/>
      <c r="E199" s="20"/>
    </row>
    <row r="200" spans="1:5" x14ac:dyDescent="0.3">
      <c r="A200" s="20"/>
      <c r="E200" s="20"/>
    </row>
    <row r="201" spans="1:5" x14ac:dyDescent="0.3">
      <c r="A201" s="20"/>
      <c r="E201" s="20"/>
    </row>
    <row r="202" spans="1:5" x14ac:dyDescent="0.3">
      <c r="A202" s="20"/>
      <c r="E202" s="20"/>
    </row>
    <row r="203" spans="1:5" x14ac:dyDescent="0.3">
      <c r="A203" s="20"/>
      <c r="E203" s="20"/>
    </row>
    <row r="204" spans="1:5" x14ac:dyDescent="0.3">
      <c r="A204" s="20"/>
      <c r="E204" s="20"/>
    </row>
    <row r="205" spans="1:5" x14ac:dyDescent="0.3">
      <c r="A205" s="20"/>
      <c r="E205" s="20"/>
    </row>
    <row r="206" spans="1:5" x14ac:dyDescent="0.3">
      <c r="A206" s="20"/>
      <c r="E206" s="20"/>
    </row>
    <row r="207" spans="1:5" x14ac:dyDescent="0.3">
      <c r="A207" s="20"/>
      <c r="E207" s="20"/>
    </row>
    <row r="208" spans="1:5" x14ac:dyDescent="0.3">
      <c r="A208" s="20"/>
      <c r="E208" s="20"/>
    </row>
    <row r="209" spans="1:5" x14ac:dyDescent="0.3">
      <c r="A209" s="20"/>
      <c r="E209" s="20"/>
    </row>
    <row r="210" spans="1:5" x14ac:dyDescent="0.3">
      <c r="A210" s="20"/>
      <c r="E210" s="20"/>
    </row>
    <row r="211" spans="1:5" x14ac:dyDescent="0.3">
      <c r="A211" s="20"/>
      <c r="E211" s="20"/>
    </row>
    <row r="212" spans="1:5" x14ac:dyDescent="0.3">
      <c r="A212" s="20"/>
      <c r="E212" s="20"/>
    </row>
    <row r="213" spans="1:5" x14ac:dyDescent="0.3">
      <c r="A213" s="20"/>
      <c r="E213" s="20"/>
    </row>
    <row r="214" spans="1:5" x14ac:dyDescent="0.3">
      <c r="A214" s="20"/>
      <c r="E214" s="20"/>
    </row>
    <row r="215" spans="1:5" x14ac:dyDescent="0.3">
      <c r="A215" s="20"/>
      <c r="E215" s="20"/>
    </row>
    <row r="216" spans="1:5" x14ac:dyDescent="0.3">
      <c r="A216" s="20"/>
      <c r="E216" s="20"/>
    </row>
    <row r="217" spans="1:5" x14ac:dyDescent="0.3">
      <c r="A217" s="20"/>
      <c r="E217" s="20"/>
    </row>
    <row r="218" spans="1:5" x14ac:dyDescent="0.3">
      <c r="A218" s="20"/>
      <c r="E218" s="20"/>
    </row>
    <row r="219" spans="1:5" x14ac:dyDescent="0.3">
      <c r="A219" s="20"/>
      <c r="E219" s="20"/>
    </row>
    <row r="220" spans="1:5" x14ac:dyDescent="0.3">
      <c r="A220" s="20"/>
      <c r="E220" s="20"/>
    </row>
    <row r="221" spans="1:5" x14ac:dyDescent="0.3">
      <c r="A221" s="20"/>
      <c r="E221" s="20"/>
    </row>
    <row r="222" spans="1:5" x14ac:dyDescent="0.3">
      <c r="A222" s="20"/>
      <c r="E222" s="20"/>
    </row>
    <row r="223" spans="1:5" x14ac:dyDescent="0.3">
      <c r="A223" s="20"/>
      <c r="E223" s="20"/>
    </row>
    <row r="224" spans="1:5" x14ac:dyDescent="0.3">
      <c r="A224" s="20"/>
      <c r="E224" s="20"/>
    </row>
    <row r="225" spans="1:5" x14ac:dyDescent="0.3">
      <c r="A225" s="20"/>
      <c r="E225" s="20"/>
    </row>
    <row r="226" spans="1:5" x14ac:dyDescent="0.3">
      <c r="A226" s="20"/>
      <c r="E226" s="20"/>
    </row>
    <row r="227" spans="1:5" x14ac:dyDescent="0.3">
      <c r="A227" s="20"/>
      <c r="E227" s="20"/>
    </row>
    <row r="228" spans="1:5" x14ac:dyDescent="0.3">
      <c r="A228" s="20"/>
      <c r="E228" s="20"/>
    </row>
    <row r="229" spans="1:5" x14ac:dyDescent="0.3">
      <c r="A229" s="20"/>
      <c r="E229" s="20"/>
    </row>
    <row r="230" spans="1:5" x14ac:dyDescent="0.3">
      <c r="A230" s="20"/>
      <c r="E230" s="20"/>
    </row>
    <row r="231" spans="1:5" x14ac:dyDescent="0.3">
      <c r="A231" s="20"/>
      <c r="E231" s="20"/>
    </row>
    <row r="232" spans="1:5" x14ac:dyDescent="0.3">
      <c r="A232" s="20"/>
      <c r="E232" s="20"/>
    </row>
    <row r="233" spans="1:5" x14ac:dyDescent="0.3">
      <c r="A233" s="20"/>
      <c r="E233" s="20"/>
    </row>
    <row r="234" spans="1:5" x14ac:dyDescent="0.3">
      <c r="A234" s="20"/>
      <c r="E234" s="20"/>
    </row>
    <row r="235" spans="1:5" x14ac:dyDescent="0.3">
      <c r="A235" s="20"/>
      <c r="E235" s="20"/>
    </row>
    <row r="236" spans="1:5" x14ac:dyDescent="0.3">
      <c r="A236" s="20"/>
      <c r="E236" s="20"/>
    </row>
    <row r="237" spans="1:5" x14ac:dyDescent="0.3">
      <c r="A237" s="20"/>
      <c r="E237" s="20"/>
    </row>
    <row r="238" spans="1:5" x14ac:dyDescent="0.3">
      <c r="A238" s="20"/>
      <c r="E238" s="20"/>
    </row>
    <row r="239" spans="1:5" x14ac:dyDescent="0.3">
      <c r="A239" s="20"/>
      <c r="E239" s="20"/>
    </row>
    <row r="240" spans="1:5" x14ac:dyDescent="0.3">
      <c r="A240" s="20"/>
      <c r="E240" s="20"/>
    </row>
    <row r="241" spans="1:5" x14ac:dyDescent="0.3">
      <c r="A241" s="20"/>
      <c r="E241" s="20"/>
    </row>
    <row r="242" spans="1:5" x14ac:dyDescent="0.3">
      <c r="A242" s="20"/>
      <c r="E242" s="20"/>
    </row>
    <row r="243" spans="1:5" x14ac:dyDescent="0.3">
      <c r="A243" s="20"/>
      <c r="E243" s="20"/>
    </row>
    <row r="244" spans="1:5" x14ac:dyDescent="0.3">
      <c r="A244" s="20"/>
      <c r="E244" s="20"/>
    </row>
    <row r="245" spans="1:5" x14ac:dyDescent="0.3">
      <c r="A245" s="20"/>
      <c r="E245" s="20"/>
    </row>
    <row r="246" spans="1:5" x14ac:dyDescent="0.3">
      <c r="A246" s="20"/>
      <c r="E246" s="20"/>
    </row>
    <row r="247" spans="1:5" x14ac:dyDescent="0.3">
      <c r="A247" s="20"/>
      <c r="E247" s="20"/>
    </row>
    <row r="248" spans="1:5" x14ac:dyDescent="0.3">
      <c r="A248" s="20"/>
      <c r="E248" s="20"/>
    </row>
    <row r="249" spans="1:5" x14ac:dyDescent="0.3">
      <c r="A249" s="20"/>
      <c r="E249" s="20"/>
    </row>
    <row r="250" spans="1:5" x14ac:dyDescent="0.3">
      <c r="A250" s="20"/>
      <c r="E250" s="20"/>
    </row>
    <row r="251" spans="1:5" x14ac:dyDescent="0.3">
      <c r="A251" s="20"/>
      <c r="E251" s="20"/>
    </row>
    <row r="252" spans="1:5" x14ac:dyDescent="0.3">
      <c r="A252" s="20"/>
      <c r="E252" s="20"/>
    </row>
    <row r="253" spans="1:5" x14ac:dyDescent="0.3">
      <c r="A253" s="20"/>
      <c r="E253" s="20"/>
    </row>
    <row r="254" spans="1:5" x14ac:dyDescent="0.3">
      <c r="A254" s="20"/>
      <c r="E254" s="20"/>
    </row>
    <row r="255" spans="1:5" x14ac:dyDescent="0.3">
      <c r="A255" s="20"/>
      <c r="E255" s="20"/>
    </row>
    <row r="256" spans="1:5" x14ac:dyDescent="0.3">
      <c r="A256" s="20"/>
      <c r="E256" s="20"/>
    </row>
    <row r="257" spans="1:5" x14ac:dyDescent="0.3">
      <c r="A257" s="20"/>
      <c r="E257" s="20"/>
    </row>
    <row r="258" spans="1:5" x14ac:dyDescent="0.3">
      <c r="A258" s="20"/>
      <c r="E258" s="20"/>
    </row>
    <row r="259" spans="1:5" x14ac:dyDescent="0.3">
      <c r="A259" s="20"/>
      <c r="E259" s="20"/>
    </row>
    <row r="260" spans="1:5" x14ac:dyDescent="0.3">
      <c r="A260" s="20"/>
      <c r="E260" s="20"/>
    </row>
    <row r="261" spans="1:5" x14ac:dyDescent="0.3">
      <c r="A261" s="20"/>
      <c r="E261" s="20"/>
    </row>
    <row r="262" spans="1:5" x14ac:dyDescent="0.3">
      <c r="A262" s="20"/>
      <c r="E262" s="20"/>
    </row>
    <row r="263" spans="1:5" x14ac:dyDescent="0.3">
      <c r="A263" s="20"/>
      <c r="E263" s="20"/>
    </row>
    <row r="264" spans="1:5" x14ac:dyDescent="0.3">
      <c r="A264" s="20"/>
      <c r="E264" s="20"/>
    </row>
    <row r="265" spans="1:5" x14ac:dyDescent="0.3">
      <c r="A265" s="20"/>
      <c r="E265" s="20"/>
    </row>
    <row r="266" spans="1:5" x14ac:dyDescent="0.3">
      <c r="A266" s="20"/>
      <c r="E266" s="20"/>
    </row>
    <row r="267" spans="1:5" x14ac:dyDescent="0.3">
      <c r="A267" s="20"/>
      <c r="E267" s="20"/>
    </row>
    <row r="268" spans="1:5" x14ac:dyDescent="0.3">
      <c r="A268" s="20"/>
      <c r="E268" s="20"/>
    </row>
    <row r="269" spans="1:5" x14ac:dyDescent="0.3">
      <c r="A269" s="20"/>
      <c r="E269" s="20"/>
    </row>
    <row r="270" spans="1:5" x14ac:dyDescent="0.3">
      <c r="A270" s="20"/>
      <c r="E270" s="20"/>
    </row>
    <row r="271" spans="1:5" x14ac:dyDescent="0.3">
      <c r="A271" s="20"/>
      <c r="E271" s="20"/>
    </row>
    <row r="272" spans="1:5" x14ac:dyDescent="0.3">
      <c r="A272" s="20"/>
      <c r="E272" s="20"/>
    </row>
    <row r="273" spans="1:5" x14ac:dyDescent="0.3">
      <c r="A273" s="20"/>
      <c r="E273" s="20"/>
    </row>
    <row r="274" spans="1:5" x14ac:dyDescent="0.3">
      <c r="A274" s="20"/>
      <c r="E274" s="20"/>
    </row>
    <row r="275" spans="1:5" x14ac:dyDescent="0.3">
      <c r="A275" s="20"/>
      <c r="E275" s="20"/>
    </row>
    <row r="276" spans="1:5" x14ac:dyDescent="0.3">
      <c r="A276" s="20"/>
      <c r="E276" s="20"/>
    </row>
    <row r="277" spans="1:5" x14ac:dyDescent="0.3">
      <c r="A277" s="20"/>
      <c r="E277" s="20"/>
    </row>
    <row r="278" spans="1:5" x14ac:dyDescent="0.3">
      <c r="A278" s="20"/>
      <c r="E278" s="20"/>
    </row>
    <row r="279" spans="1:5" x14ac:dyDescent="0.3">
      <c r="A279" s="20"/>
      <c r="E279" s="20"/>
    </row>
    <row r="280" spans="1:5" x14ac:dyDescent="0.3">
      <c r="A280" s="20"/>
      <c r="E280" s="20"/>
    </row>
    <row r="281" spans="1:5" x14ac:dyDescent="0.3">
      <c r="A281" s="20"/>
      <c r="E281" s="20"/>
    </row>
    <row r="282" spans="1:5" x14ac:dyDescent="0.3">
      <c r="A282" s="20"/>
      <c r="E282" s="20"/>
    </row>
    <row r="283" spans="1:5" x14ac:dyDescent="0.3">
      <c r="A283" s="20"/>
      <c r="E283" s="20"/>
    </row>
    <row r="284" spans="1:5" x14ac:dyDescent="0.3">
      <c r="A284" s="20"/>
      <c r="E284" s="20"/>
    </row>
    <row r="285" spans="1:5" x14ac:dyDescent="0.3">
      <c r="A285" s="20"/>
      <c r="E285" s="20"/>
    </row>
    <row r="286" spans="1:5" x14ac:dyDescent="0.3">
      <c r="A286" s="20"/>
      <c r="E286" s="20"/>
    </row>
    <row r="287" spans="1:5" x14ac:dyDescent="0.3">
      <c r="A287" s="20"/>
      <c r="E287" s="20"/>
    </row>
    <row r="288" spans="1:5" x14ac:dyDescent="0.3">
      <c r="A288" s="20"/>
      <c r="E288" s="20"/>
    </row>
    <row r="289" spans="1:5" x14ac:dyDescent="0.3">
      <c r="A289" s="20"/>
      <c r="E289" s="20"/>
    </row>
    <row r="290" spans="1:5" x14ac:dyDescent="0.3">
      <c r="A290" s="20"/>
      <c r="E290" s="20"/>
    </row>
    <row r="291" spans="1:5" x14ac:dyDescent="0.3">
      <c r="A291" s="20"/>
      <c r="E291" s="20"/>
    </row>
    <row r="292" spans="1:5" x14ac:dyDescent="0.3">
      <c r="A292" s="20"/>
      <c r="E292" s="20"/>
    </row>
    <row r="293" spans="1:5" x14ac:dyDescent="0.3">
      <c r="A293" s="20"/>
      <c r="E293" s="20"/>
    </row>
    <row r="294" spans="1:5" x14ac:dyDescent="0.3">
      <c r="A294" s="20"/>
      <c r="E294" s="20"/>
    </row>
    <row r="295" spans="1:5" x14ac:dyDescent="0.3">
      <c r="A295" s="20"/>
      <c r="E295" s="20"/>
    </row>
    <row r="296" spans="1:5" x14ac:dyDescent="0.3">
      <c r="A296" s="20"/>
      <c r="E296" s="20"/>
    </row>
    <row r="297" spans="1:5" x14ac:dyDescent="0.3">
      <c r="A297" s="20"/>
      <c r="E297" s="20"/>
    </row>
    <row r="298" spans="1:5" x14ac:dyDescent="0.3">
      <c r="A298" s="20"/>
      <c r="E298" s="20"/>
    </row>
    <row r="299" spans="1:5" x14ac:dyDescent="0.3">
      <c r="A299" s="20"/>
      <c r="E299" s="20"/>
    </row>
    <row r="300" spans="1:5" x14ac:dyDescent="0.3">
      <c r="A300" s="20"/>
      <c r="E300" s="20"/>
    </row>
    <row r="301" spans="1:5" x14ac:dyDescent="0.3">
      <c r="A301" s="20"/>
      <c r="E301" s="20"/>
    </row>
    <row r="302" spans="1:5" x14ac:dyDescent="0.3">
      <c r="A302" s="20"/>
      <c r="E302" s="20"/>
    </row>
    <row r="303" spans="1:5" x14ac:dyDescent="0.3">
      <c r="A303" s="20"/>
      <c r="E303" s="20"/>
    </row>
    <row r="304" spans="1:5" x14ac:dyDescent="0.3">
      <c r="A304" s="20"/>
      <c r="E304" s="20"/>
    </row>
    <row r="305" spans="1:5" x14ac:dyDescent="0.3">
      <c r="A305" s="20"/>
      <c r="E305" s="20"/>
    </row>
    <row r="306" spans="1:5" x14ac:dyDescent="0.3">
      <c r="A306" s="20"/>
      <c r="E306" s="20"/>
    </row>
    <row r="307" spans="1:5" x14ac:dyDescent="0.3">
      <c r="A307" s="20"/>
      <c r="E307" s="20"/>
    </row>
    <row r="308" spans="1:5" x14ac:dyDescent="0.3">
      <c r="A308" s="20"/>
      <c r="E308" s="20"/>
    </row>
    <row r="309" spans="1:5" x14ac:dyDescent="0.3">
      <c r="A309" s="20"/>
      <c r="E309" s="20"/>
    </row>
    <row r="310" spans="1:5" x14ac:dyDescent="0.3">
      <c r="A310" s="20"/>
      <c r="E310" s="20"/>
    </row>
    <row r="311" spans="1:5" x14ac:dyDescent="0.3">
      <c r="A311" s="20"/>
      <c r="E311" s="20"/>
    </row>
    <row r="312" spans="1:5" x14ac:dyDescent="0.3">
      <c r="A312" s="20"/>
      <c r="E312" s="20"/>
    </row>
    <row r="313" spans="1:5" x14ac:dyDescent="0.3">
      <c r="A313" s="20"/>
      <c r="E313" s="20"/>
    </row>
    <row r="314" spans="1:5" x14ac:dyDescent="0.3">
      <c r="A314" s="20"/>
      <c r="E314" s="20"/>
    </row>
    <row r="315" spans="1:5" x14ac:dyDescent="0.3">
      <c r="A315" s="20"/>
      <c r="E315" s="20"/>
    </row>
    <row r="316" spans="1:5" x14ac:dyDescent="0.3">
      <c r="A316" s="20"/>
      <c r="E316" s="20"/>
    </row>
    <row r="317" spans="1:5" x14ac:dyDescent="0.3">
      <c r="A317" s="20"/>
      <c r="E317" s="20"/>
    </row>
    <row r="318" spans="1:5" x14ac:dyDescent="0.3">
      <c r="A318" s="20"/>
      <c r="E318" s="20"/>
    </row>
    <row r="319" spans="1:5" x14ac:dyDescent="0.3">
      <c r="A319" s="20"/>
      <c r="E319" s="20"/>
    </row>
    <row r="320" spans="1:5" x14ac:dyDescent="0.3">
      <c r="A320" s="20"/>
      <c r="E320" s="20"/>
    </row>
    <row r="321" spans="1:5" x14ac:dyDescent="0.3">
      <c r="A321" s="20"/>
      <c r="E321" s="20"/>
    </row>
    <row r="322" spans="1:5" x14ac:dyDescent="0.3">
      <c r="A322" s="20"/>
      <c r="E322" s="20"/>
    </row>
    <row r="323" spans="1:5" x14ac:dyDescent="0.3">
      <c r="A323" s="20"/>
      <c r="E323" s="20"/>
    </row>
    <row r="324" spans="1:5" x14ac:dyDescent="0.3">
      <c r="A324" s="20"/>
      <c r="E324" s="20"/>
    </row>
    <row r="325" spans="1:5" x14ac:dyDescent="0.3">
      <c r="A325" s="20"/>
      <c r="E325" s="20"/>
    </row>
    <row r="326" spans="1:5" x14ac:dyDescent="0.3">
      <c r="A326" s="20"/>
      <c r="E326" s="20"/>
    </row>
    <row r="327" spans="1:5" x14ac:dyDescent="0.3">
      <c r="A327" s="20"/>
      <c r="E327" s="20"/>
    </row>
    <row r="328" spans="1:5" x14ac:dyDescent="0.3">
      <c r="A328" s="20"/>
      <c r="E328" s="20"/>
    </row>
    <row r="329" spans="1:5" x14ac:dyDescent="0.3">
      <c r="A329" s="20"/>
      <c r="E329" s="20"/>
    </row>
    <row r="330" spans="1:5" x14ac:dyDescent="0.3">
      <c r="A330" s="20"/>
      <c r="E330" s="20"/>
    </row>
    <row r="331" spans="1:5" x14ac:dyDescent="0.3">
      <c r="A331" s="20"/>
      <c r="E331" s="20"/>
    </row>
    <row r="332" spans="1:5" x14ac:dyDescent="0.3">
      <c r="A332" s="20"/>
      <c r="E332" s="20"/>
    </row>
    <row r="333" spans="1:5" x14ac:dyDescent="0.3">
      <c r="A333" s="20"/>
      <c r="E333" s="20"/>
    </row>
    <row r="334" spans="1:5" x14ac:dyDescent="0.3">
      <c r="A334" s="20"/>
      <c r="E334" s="20"/>
    </row>
    <row r="335" spans="1:5" x14ac:dyDescent="0.3">
      <c r="A335" s="20"/>
      <c r="E335" s="20"/>
    </row>
    <row r="336" spans="1:5" x14ac:dyDescent="0.3">
      <c r="A336" s="20"/>
      <c r="E336" s="20"/>
    </row>
    <row r="337" spans="1:5" x14ac:dyDescent="0.3">
      <c r="A337" s="20"/>
      <c r="E337" s="20"/>
    </row>
    <row r="338" spans="1:5" x14ac:dyDescent="0.3">
      <c r="A338" s="20"/>
      <c r="E338" s="20"/>
    </row>
    <row r="339" spans="1:5" x14ac:dyDescent="0.3">
      <c r="A339" s="20"/>
      <c r="E339" s="20"/>
    </row>
    <row r="340" spans="1:5" x14ac:dyDescent="0.3">
      <c r="A340" s="20"/>
      <c r="E340" s="20"/>
    </row>
    <row r="341" spans="1:5" x14ac:dyDescent="0.3">
      <c r="A341" s="20"/>
      <c r="E341" s="20"/>
    </row>
    <row r="342" spans="1:5" x14ac:dyDescent="0.3">
      <c r="A342" s="20"/>
      <c r="E342" s="20"/>
    </row>
    <row r="343" spans="1:5" x14ac:dyDescent="0.3">
      <c r="A343" s="20"/>
      <c r="E343" s="20"/>
    </row>
    <row r="344" spans="1:5" x14ac:dyDescent="0.3">
      <c r="A344" s="20"/>
      <c r="E344" s="20"/>
    </row>
    <row r="345" spans="1:5" x14ac:dyDescent="0.3">
      <c r="A345" s="20"/>
      <c r="E345" s="20"/>
    </row>
    <row r="346" spans="1:5" x14ac:dyDescent="0.3">
      <c r="A346" s="20"/>
      <c r="E346" s="20"/>
    </row>
    <row r="347" spans="1:5" x14ac:dyDescent="0.3">
      <c r="A347" s="20"/>
      <c r="E347" s="20"/>
    </row>
    <row r="348" spans="1:5" x14ac:dyDescent="0.3">
      <c r="A348" s="20"/>
      <c r="E348" s="20"/>
    </row>
    <row r="349" spans="1:5" x14ac:dyDescent="0.3">
      <c r="A349" s="20"/>
      <c r="E349" s="20"/>
    </row>
    <row r="350" spans="1:5" x14ac:dyDescent="0.3">
      <c r="A350" s="20"/>
      <c r="E350" s="20"/>
    </row>
    <row r="351" spans="1:5" x14ac:dyDescent="0.3">
      <c r="A351" s="20"/>
      <c r="E351" s="20"/>
    </row>
    <row r="352" spans="1:5" x14ac:dyDescent="0.3">
      <c r="A352" s="20"/>
      <c r="E352" s="20"/>
    </row>
    <row r="353" spans="1:5" x14ac:dyDescent="0.3">
      <c r="A353" s="20"/>
      <c r="E353" s="20"/>
    </row>
    <row r="354" spans="1:5" x14ac:dyDescent="0.3">
      <c r="A354" s="20"/>
      <c r="E354" s="20"/>
    </row>
    <row r="355" spans="1:5" x14ac:dyDescent="0.3">
      <c r="A355" s="20"/>
      <c r="E355" s="20"/>
    </row>
    <row r="356" spans="1:5" x14ac:dyDescent="0.3">
      <c r="A356" s="20"/>
      <c r="E356" s="20"/>
    </row>
    <row r="357" spans="1:5" x14ac:dyDescent="0.3">
      <c r="A357" s="20"/>
      <c r="E357" s="20"/>
    </row>
    <row r="358" spans="1:5" x14ac:dyDescent="0.3">
      <c r="A358" s="20"/>
      <c r="E358" s="20"/>
    </row>
    <row r="359" spans="1:5" x14ac:dyDescent="0.3">
      <c r="A359" s="20"/>
      <c r="E359" s="20"/>
    </row>
    <row r="360" spans="1:5" x14ac:dyDescent="0.3">
      <c r="A360" s="20"/>
      <c r="E360" s="20"/>
    </row>
    <row r="361" spans="1:5" x14ac:dyDescent="0.3">
      <c r="A361" s="20"/>
      <c r="E361" s="20"/>
    </row>
    <row r="362" spans="1:5" x14ac:dyDescent="0.3">
      <c r="A362" s="20"/>
      <c r="E362" s="20"/>
    </row>
    <row r="363" spans="1:5" x14ac:dyDescent="0.3">
      <c r="A363" s="20"/>
      <c r="E363" s="20"/>
    </row>
    <row r="364" spans="1:5" x14ac:dyDescent="0.3">
      <c r="A364" s="20"/>
      <c r="E364" s="20"/>
    </row>
    <row r="365" spans="1:5" x14ac:dyDescent="0.3">
      <c r="A365" s="20"/>
      <c r="E365" s="20"/>
    </row>
    <row r="366" spans="1:5" x14ac:dyDescent="0.3">
      <c r="A366" s="20"/>
      <c r="E366" s="20"/>
    </row>
    <row r="367" spans="1:5" x14ac:dyDescent="0.3">
      <c r="A367" s="20"/>
      <c r="E367" s="20"/>
    </row>
    <row r="368" spans="1:5" x14ac:dyDescent="0.3">
      <c r="A368" s="20"/>
      <c r="E368" s="20"/>
    </row>
    <row r="369" spans="1:5" x14ac:dyDescent="0.3">
      <c r="A369" s="20"/>
      <c r="E369" s="20"/>
    </row>
    <row r="370" spans="1:5" x14ac:dyDescent="0.3">
      <c r="A370" s="20"/>
      <c r="E370" s="20"/>
    </row>
    <row r="371" spans="1:5" x14ac:dyDescent="0.3">
      <c r="A371" s="20"/>
      <c r="E371" s="20"/>
    </row>
    <row r="372" spans="1:5" x14ac:dyDescent="0.3">
      <c r="A372" s="20"/>
      <c r="E372" s="20"/>
    </row>
    <row r="373" spans="1:5" x14ac:dyDescent="0.3">
      <c r="A373" s="20"/>
      <c r="E373" s="20"/>
    </row>
    <row r="374" spans="1:5" x14ac:dyDescent="0.3">
      <c r="A374" s="20"/>
      <c r="E374" s="20"/>
    </row>
    <row r="375" spans="1:5" x14ac:dyDescent="0.3">
      <c r="A375" s="20"/>
      <c r="E375" s="20"/>
    </row>
    <row r="376" spans="1:5" x14ac:dyDescent="0.3">
      <c r="A376" s="20"/>
      <c r="E376" s="20"/>
    </row>
    <row r="377" spans="1:5" x14ac:dyDescent="0.3">
      <c r="A377" s="20"/>
      <c r="E377" s="20"/>
    </row>
    <row r="378" spans="1:5" x14ac:dyDescent="0.3">
      <c r="A378" s="20"/>
      <c r="E378" s="20"/>
    </row>
    <row r="379" spans="1:5" x14ac:dyDescent="0.3">
      <c r="A379" s="20"/>
      <c r="E379" s="20"/>
    </row>
    <row r="380" spans="1:5" x14ac:dyDescent="0.3">
      <c r="A380" s="20"/>
      <c r="E380" s="20"/>
    </row>
    <row r="381" spans="1:5" x14ac:dyDescent="0.3">
      <c r="A381" s="20"/>
      <c r="E381" s="20"/>
    </row>
    <row r="382" spans="1:5" x14ac:dyDescent="0.3">
      <c r="A382" s="20"/>
      <c r="E382" s="20"/>
    </row>
    <row r="383" spans="1:5" x14ac:dyDescent="0.3">
      <c r="A383" s="20"/>
      <c r="E383" s="20"/>
    </row>
    <row r="384" spans="1:5" x14ac:dyDescent="0.3">
      <c r="A384" s="20"/>
      <c r="E384" s="20"/>
    </row>
    <row r="385" spans="1:5" x14ac:dyDescent="0.3">
      <c r="A385" s="20"/>
      <c r="E385" s="20"/>
    </row>
    <row r="386" spans="1:5" x14ac:dyDescent="0.3">
      <c r="A386" s="20"/>
      <c r="E386" s="20"/>
    </row>
    <row r="387" spans="1:5" x14ac:dyDescent="0.3">
      <c r="A387" s="20"/>
      <c r="E387" s="20"/>
    </row>
    <row r="388" spans="1:5" x14ac:dyDescent="0.3">
      <c r="A388" s="20"/>
      <c r="E388" s="20"/>
    </row>
    <row r="389" spans="1:5" x14ac:dyDescent="0.3">
      <c r="A389" s="20"/>
      <c r="E389" s="20"/>
    </row>
    <row r="390" spans="1:5" x14ac:dyDescent="0.3">
      <c r="A390" s="20"/>
      <c r="E390" s="20"/>
    </row>
    <row r="391" spans="1:5" x14ac:dyDescent="0.3">
      <c r="A391" s="20"/>
      <c r="E391" s="20"/>
    </row>
    <row r="392" spans="1:5" x14ac:dyDescent="0.3">
      <c r="A392" s="20"/>
      <c r="E392" s="20"/>
    </row>
    <row r="393" spans="1:5" x14ac:dyDescent="0.3">
      <c r="A393" s="20"/>
      <c r="E393" s="20"/>
    </row>
    <row r="394" spans="1:5" x14ac:dyDescent="0.3">
      <c r="A394" s="20"/>
      <c r="E394" s="20"/>
    </row>
    <row r="395" spans="1:5" x14ac:dyDescent="0.3">
      <c r="A395" s="20"/>
      <c r="E395" s="20"/>
    </row>
    <row r="396" spans="1:5" x14ac:dyDescent="0.3">
      <c r="A396" s="20"/>
      <c r="E396" s="20"/>
    </row>
    <row r="397" spans="1:5" x14ac:dyDescent="0.3">
      <c r="A397" s="20"/>
      <c r="E397" s="20"/>
    </row>
    <row r="398" spans="1:5" x14ac:dyDescent="0.3">
      <c r="A398" s="20"/>
      <c r="E398" s="20"/>
    </row>
    <row r="399" spans="1:5" x14ac:dyDescent="0.3">
      <c r="A399" s="20"/>
      <c r="E399" s="20"/>
    </row>
    <row r="400" spans="1:5" x14ac:dyDescent="0.3">
      <c r="A400" s="20"/>
      <c r="E400" s="20"/>
    </row>
    <row r="401" spans="1:5" x14ac:dyDescent="0.3">
      <c r="A401" s="20"/>
      <c r="E401" s="20"/>
    </row>
    <row r="402" spans="1:5" x14ac:dyDescent="0.3">
      <c r="A402" s="20"/>
      <c r="E402" s="20"/>
    </row>
    <row r="403" spans="1:5" x14ac:dyDescent="0.3">
      <c r="A403" s="20"/>
      <c r="E403" s="20"/>
    </row>
    <row r="404" spans="1:5" x14ac:dyDescent="0.3">
      <c r="A404" s="20"/>
      <c r="E404" s="20"/>
    </row>
    <row r="405" spans="1:5" x14ac:dyDescent="0.3">
      <c r="A405" s="20"/>
      <c r="E405" s="20"/>
    </row>
    <row r="406" spans="1:5" x14ac:dyDescent="0.3">
      <c r="A406" s="20"/>
      <c r="E406" s="20"/>
    </row>
    <row r="407" spans="1:5" x14ac:dyDescent="0.3">
      <c r="A407" s="20"/>
      <c r="E407" s="20"/>
    </row>
    <row r="408" spans="1:5" x14ac:dyDescent="0.3">
      <c r="A408" s="20"/>
      <c r="E408" s="20"/>
    </row>
    <row r="409" spans="1:5" x14ac:dyDescent="0.3">
      <c r="A409" s="20"/>
      <c r="E409" s="20"/>
    </row>
    <row r="410" spans="1:5" x14ac:dyDescent="0.3">
      <c r="A410" s="20"/>
      <c r="E410" s="20"/>
    </row>
    <row r="411" spans="1:5" x14ac:dyDescent="0.3">
      <c r="A411" s="20"/>
      <c r="E411" s="20"/>
    </row>
    <row r="412" spans="1:5" x14ac:dyDescent="0.3">
      <c r="A412" s="20"/>
      <c r="E412" s="20"/>
    </row>
    <row r="413" spans="1:5" x14ac:dyDescent="0.3">
      <c r="A413" s="20"/>
      <c r="E413" s="20"/>
    </row>
    <row r="414" spans="1:5" x14ac:dyDescent="0.3">
      <c r="A414" s="20"/>
      <c r="E414" s="20"/>
    </row>
    <row r="415" spans="1:5" x14ac:dyDescent="0.3">
      <c r="A415" s="20"/>
      <c r="E415" s="20"/>
    </row>
    <row r="416" spans="1:5" x14ac:dyDescent="0.3">
      <c r="A416" s="20"/>
      <c r="E416" s="20"/>
    </row>
    <row r="417" spans="1:5" x14ac:dyDescent="0.3">
      <c r="A417" s="20"/>
      <c r="E417" s="20"/>
    </row>
    <row r="418" spans="1:5" x14ac:dyDescent="0.3">
      <c r="A418" s="20"/>
      <c r="E418" s="20"/>
    </row>
    <row r="419" spans="1:5" x14ac:dyDescent="0.3">
      <c r="A419" s="20"/>
      <c r="E419" s="20"/>
    </row>
    <row r="420" spans="1:5" x14ac:dyDescent="0.3">
      <c r="A420" s="20"/>
      <c r="E420" s="20"/>
    </row>
    <row r="421" spans="1:5" x14ac:dyDescent="0.3">
      <c r="A421" s="20"/>
      <c r="E421" s="20"/>
    </row>
    <row r="422" spans="1:5" x14ac:dyDescent="0.3">
      <c r="A422" s="20"/>
      <c r="E422" s="20"/>
    </row>
    <row r="423" spans="1:5" x14ac:dyDescent="0.3">
      <c r="A423" s="20"/>
      <c r="E423" s="20"/>
    </row>
    <row r="424" spans="1:5" x14ac:dyDescent="0.3">
      <c r="A424" s="20"/>
      <c r="E424" s="20"/>
    </row>
    <row r="425" spans="1:5" x14ac:dyDescent="0.3">
      <c r="A425" s="20"/>
      <c r="E425" s="20"/>
    </row>
    <row r="426" spans="1:5" x14ac:dyDescent="0.3">
      <c r="A426" s="20"/>
      <c r="E426" s="20"/>
    </row>
    <row r="427" spans="1:5" x14ac:dyDescent="0.3">
      <c r="A427" s="20"/>
      <c r="E427" s="20"/>
    </row>
    <row r="428" spans="1:5" x14ac:dyDescent="0.3">
      <c r="A428" s="20"/>
      <c r="E428" s="20"/>
    </row>
    <row r="429" spans="1:5" x14ac:dyDescent="0.3">
      <c r="A429" s="20"/>
      <c r="E429" s="20"/>
    </row>
    <row r="430" spans="1:5" x14ac:dyDescent="0.3">
      <c r="A430" s="20"/>
      <c r="E430" s="20"/>
    </row>
    <row r="431" spans="1:5" x14ac:dyDescent="0.3">
      <c r="A431" s="20"/>
      <c r="E431" s="20"/>
    </row>
    <row r="432" spans="1:5" x14ac:dyDescent="0.3">
      <c r="A432" s="20"/>
      <c r="E432" s="20"/>
    </row>
    <row r="433" spans="1:5" x14ac:dyDescent="0.3">
      <c r="A433" s="20"/>
      <c r="E433" s="20"/>
    </row>
    <row r="434" spans="1:5" x14ac:dyDescent="0.3">
      <c r="A434" s="20"/>
      <c r="E434" s="20"/>
    </row>
    <row r="435" spans="1:5" x14ac:dyDescent="0.3">
      <c r="A435" s="20"/>
      <c r="E435" s="20"/>
    </row>
    <row r="436" spans="1:5" x14ac:dyDescent="0.3">
      <c r="A436" s="20"/>
      <c r="E436" s="20"/>
    </row>
    <row r="437" spans="1:5" x14ac:dyDescent="0.3">
      <c r="A437" s="20"/>
      <c r="E437" s="20"/>
    </row>
    <row r="438" spans="1:5" x14ac:dyDescent="0.3">
      <c r="A438" s="20"/>
      <c r="E438" s="20"/>
    </row>
    <row r="439" spans="1:5" x14ac:dyDescent="0.3">
      <c r="A439" s="20"/>
      <c r="E439" s="20"/>
    </row>
    <row r="440" spans="1:5" x14ac:dyDescent="0.3">
      <c r="A440" s="20"/>
      <c r="E440" s="20"/>
    </row>
    <row r="441" spans="1:5" x14ac:dyDescent="0.3">
      <c r="A441" s="20"/>
      <c r="E441" s="20"/>
    </row>
    <row r="442" spans="1:5" x14ac:dyDescent="0.3">
      <c r="A442" s="20"/>
      <c r="E442" s="20"/>
    </row>
    <row r="443" spans="1:5" x14ac:dyDescent="0.3">
      <c r="A443" s="20"/>
      <c r="E443" s="20"/>
    </row>
    <row r="444" spans="1:5" x14ac:dyDescent="0.3">
      <c r="A444" s="20"/>
      <c r="E444" s="20"/>
    </row>
    <row r="445" spans="1:5" x14ac:dyDescent="0.3">
      <c r="A445" s="20"/>
      <c r="E445" s="20"/>
    </row>
    <row r="446" spans="1:5" x14ac:dyDescent="0.3">
      <c r="A446" s="20"/>
      <c r="E446" s="20"/>
    </row>
    <row r="447" spans="1:5" x14ac:dyDescent="0.3">
      <c r="A447" s="20"/>
      <c r="E447" s="20"/>
    </row>
    <row r="448" spans="1:5" x14ac:dyDescent="0.3">
      <c r="A448" s="20"/>
      <c r="E448" s="20"/>
    </row>
    <row r="449" spans="1:5" x14ac:dyDescent="0.3">
      <c r="A449" s="20"/>
      <c r="E449" s="20"/>
    </row>
    <row r="450" spans="1:5" x14ac:dyDescent="0.3">
      <c r="A450" s="20"/>
      <c r="E450" s="20"/>
    </row>
    <row r="451" spans="1:5" x14ac:dyDescent="0.3">
      <c r="A451" s="20"/>
      <c r="E451" s="20"/>
    </row>
    <row r="452" spans="1:5" x14ac:dyDescent="0.3">
      <c r="A452" s="20"/>
      <c r="E452" s="20"/>
    </row>
    <row r="453" spans="1:5" x14ac:dyDescent="0.3">
      <c r="A453" s="20"/>
      <c r="E453" s="20"/>
    </row>
    <row r="454" spans="1:5" x14ac:dyDescent="0.3">
      <c r="A454" s="20"/>
      <c r="E454" s="20"/>
    </row>
    <row r="455" spans="1:5" x14ac:dyDescent="0.3">
      <c r="A455" s="20"/>
      <c r="E455" s="20"/>
    </row>
    <row r="456" spans="1:5" x14ac:dyDescent="0.3">
      <c r="A456" s="20"/>
      <c r="E456" s="20"/>
    </row>
    <row r="457" spans="1:5" x14ac:dyDescent="0.3">
      <c r="A457" s="20"/>
      <c r="E457" s="20"/>
    </row>
    <row r="458" spans="1:5" x14ac:dyDescent="0.3">
      <c r="A458" s="20"/>
      <c r="E458" s="20"/>
    </row>
    <row r="459" spans="1:5" x14ac:dyDescent="0.3">
      <c r="A459" s="20"/>
      <c r="E459" s="20"/>
    </row>
    <row r="460" spans="1:5" x14ac:dyDescent="0.3">
      <c r="A460" s="20"/>
      <c r="E460" s="20"/>
    </row>
    <row r="461" spans="1:5" x14ac:dyDescent="0.3">
      <c r="A461" s="20"/>
      <c r="E461" s="20"/>
    </row>
    <row r="462" spans="1:5" x14ac:dyDescent="0.3">
      <c r="A462" s="20"/>
      <c r="E462" s="20"/>
    </row>
    <row r="463" spans="1:5" x14ac:dyDescent="0.3">
      <c r="A463" s="20"/>
      <c r="E463" s="20"/>
    </row>
    <row r="464" spans="1:5" x14ac:dyDescent="0.3">
      <c r="A464" s="20"/>
      <c r="E464" s="20"/>
    </row>
    <row r="465" spans="1:5" x14ac:dyDescent="0.3">
      <c r="A465" s="20"/>
      <c r="E465" s="20"/>
    </row>
    <row r="466" spans="1:5" x14ac:dyDescent="0.3">
      <c r="A466" s="20"/>
      <c r="E466" s="20"/>
    </row>
    <row r="467" spans="1:5" x14ac:dyDescent="0.3">
      <c r="A467" s="20"/>
      <c r="E467" s="20"/>
    </row>
    <row r="468" spans="1:5" x14ac:dyDescent="0.3">
      <c r="A468" s="20"/>
      <c r="E468" s="20"/>
    </row>
    <row r="469" spans="1:5" x14ac:dyDescent="0.3">
      <c r="A469" s="20"/>
      <c r="E469" s="20"/>
    </row>
    <row r="470" spans="1:5" x14ac:dyDescent="0.3">
      <c r="A470" s="20"/>
      <c r="E470" s="20"/>
    </row>
    <row r="471" spans="1:5" x14ac:dyDescent="0.3">
      <c r="A471" s="20"/>
      <c r="E471" s="20"/>
    </row>
    <row r="472" spans="1:5" x14ac:dyDescent="0.3">
      <c r="A472" s="20"/>
      <c r="E472" s="20"/>
    </row>
    <row r="473" spans="1:5" x14ac:dyDescent="0.3">
      <c r="A473" s="20"/>
      <c r="E473" s="20"/>
    </row>
    <row r="474" spans="1:5" x14ac:dyDescent="0.3">
      <c r="A474" s="20"/>
      <c r="E474" s="20"/>
    </row>
    <row r="475" spans="1:5" x14ac:dyDescent="0.3">
      <c r="A475" s="20"/>
      <c r="E475" s="20"/>
    </row>
    <row r="476" spans="1:5" x14ac:dyDescent="0.3">
      <c r="A476" s="20"/>
      <c r="E476" s="20"/>
    </row>
    <row r="477" spans="1:5" x14ac:dyDescent="0.3">
      <c r="A477" s="20"/>
      <c r="E477" s="20"/>
    </row>
    <row r="478" spans="1:5" x14ac:dyDescent="0.3">
      <c r="A478" s="20"/>
      <c r="E478" s="20"/>
    </row>
    <row r="479" spans="1:5" x14ac:dyDescent="0.3">
      <c r="A479" s="20"/>
      <c r="E479" s="20"/>
    </row>
    <row r="480" spans="1:5" x14ac:dyDescent="0.3">
      <c r="A480" s="20"/>
      <c r="E480" s="20"/>
    </row>
    <row r="481" spans="1:5" x14ac:dyDescent="0.3">
      <c r="A481" s="20"/>
      <c r="E481" s="20"/>
    </row>
    <row r="482" spans="1:5" x14ac:dyDescent="0.3">
      <c r="A482" s="20"/>
      <c r="E482" s="20"/>
    </row>
    <row r="483" spans="1:5" x14ac:dyDescent="0.3">
      <c r="A483" s="20"/>
      <c r="E483" s="20"/>
    </row>
    <row r="484" spans="1:5" x14ac:dyDescent="0.3">
      <c r="A484" s="20"/>
      <c r="E484" s="20"/>
    </row>
    <row r="485" spans="1:5" x14ac:dyDescent="0.3">
      <c r="A485" s="20"/>
      <c r="E485" s="20"/>
    </row>
    <row r="486" spans="1:5" x14ac:dyDescent="0.3">
      <c r="A486" s="20"/>
      <c r="E486" s="20"/>
    </row>
    <row r="487" spans="1:5" x14ac:dyDescent="0.3">
      <c r="A487" s="20"/>
      <c r="E487" s="20"/>
    </row>
    <row r="488" spans="1:5" x14ac:dyDescent="0.3">
      <c r="A488" s="20"/>
      <c r="E488" s="20"/>
    </row>
    <row r="489" spans="1:5" x14ac:dyDescent="0.3">
      <c r="A489" s="20"/>
      <c r="E489" s="20"/>
    </row>
    <row r="490" spans="1:5" x14ac:dyDescent="0.3">
      <c r="A490" s="20"/>
      <c r="E490" s="20"/>
    </row>
    <row r="491" spans="1:5" x14ac:dyDescent="0.3">
      <c r="A491" s="20"/>
      <c r="E491" s="20"/>
    </row>
    <row r="492" spans="1:5" x14ac:dyDescent="0.3">
      <c r="A492" s="20"/>
      <c r="E492" s="20"/>
    </row>
    <row r="493" spans="1:5" x14ac:dyDescent="0.3">
      <c r="A493" s="20"/>
      <c r="E493" s="20"/>
    </row>
    <row r="494" spans="1:5" x14ac:dyDescent="0.3">
      <c r="A494" s="20"/>
      <c r="E494" s="20"/>
    </row>
    <row r="495" spans="1:5" x14ac:dyDescent="0.3">
      <c r="A495" s="20"/>
      <c r="E495" s="20"/>
    </row>
    <row r="496" spans="1:5" x14ac:dyDescent="0.3">
      <c r="A496" s="20"/>
      <c r="E496" s="20"/>
    </row>
    <row r="497" spans="1:5" x14ac:dyDescent="0.3">
      <c r="A497" s="20"/>
      <c r="E497" s="20"/>
    </row>
    <row r="498" spans="1:5" x14ac:dyDescent="0.3">
      <c r="A498" s="20"/>
      <c r="E498" s="20"/>
    </row>
    <row r="499" spans="1:5" x14ac:dyDescent="0.3">
      <c r="A499" s="20"/>
      <c r="E499" s="20"/>
    </row>
    <row r="500" spans="1:5" x14ac:dyDescent="0.3">
      <c r="A500" s="20"/>
      <c r="E500" s="20"/>
    </row>
    <row r="501" spans="1:5" x14ac:dyDescent="0.3">
      <c r="A501" s="20"/>
      <c r="E501" s="20"/>
    </row>
    <row r="502" spans="1:5" x14ac:dyDescent="0.3">
      <c r="A502" s="20"/>
      <c r="E502" s="20"/>
    </row>
    <row r="503" spans="1:5" x14ac:dyDescent="0.3">
      <c r="A503" s="20"/>
      <c r="E503" s="20"/>
    </row>
    <row r="504" spans="1:5" x14ac:dyDescent="0.3">
      <c r="A504" s="20"/>
      <c r="E504" s="20"/>
    </row>
    <row r="505" spans="1:5" x14ac:dyDescent="0.3">
      <c r="A505" s="20"/>
      <c r="E505" s="20"/>
    </row>
    <row r="506" spans="1:5" x14ac:dyDescent="0.3">
      <c r="A506" s="20"/>
      <c r="E506" s="20"/>
    </row>
    <row r="507" spans="1:5" x14ac:dyDescent="0.3">
      <c r="A507" s="20"/>
      <c r="E507" s="20"/>
    </row>
    <row r="508" spans="1:5" x14ac:dyDescent="0.3">
      <c r="A508" s="20"/>
      <c r="E508" s="20"/>
    </row>
    <row r="509" spans="1:5" x14ac:dyDescent="0.3">
      <c r="A509" s="20"/>
      <c r="E509" s="20"/>
    </row>
    <row r="510" spans="1:5" x14ac:dyDescent="0.3">
      <c r="A510" s="20"/>
      <c r="E510" s="20"/>
    </row>
    <row r="511" spans="1:5" x14ac:dyDescent="0.3">
      <c r="A511" s="20"/>
      <c r="E511" s="20"/>
    </row>
    <row r="512" spans="1:5" x14ac:dyDescent="0.3">
      <c r="A512" s="20"/>
      <c r="E512" s="20"/>
    </row>
    <row r="513" spans="1:5" x14ac:dyDescent="0.3">
      <c r="A513" s="20"/>
      <c r="E513" s="20"/>
    </row>
    <row r="514" spans="1:5" x14ac:dyDescent="0.3">
      <c r="A514" s="20"/>
      <c r="E514" s="20"/>
    </row>
    <row r="515" spans="1:5" x14ac:dyDescent="0.3">
      <c r="A515" s="20"/>
      <c r="E515" s="20"/>
    </row>
    <row r="516" spans="1:5" x14ac:dyDescent="0.3">
      <c r="A516" s="20"/>
      <c r="E516" s="20"/>
    </row>
    <row r="517" spans="1:5" x14ac:dyDescent="0.3">
      <c r="A517" s="20"/>
      <c r="E517" s="20"/>
    </row>
    <row r="518" spans="1:5" x14ac:dyDescent="0.3">
      <c r="A518" s="20"/>
      <c r="E518" s="20"/>
    </row>
    <row r="519" spans="1:5" x14ac:dyDescent="0.3">
      <c r="A519" s="20"/>
      <c r="E519" s="20"/>
    </row>
    <row r="520" spans="1:5" x14ac:dyDescent="0.3">
      <c r="A520" s="20"/>
      <c r="E520" s="20"/>
    </row>
    <row r="521" spans="1:5" x14ac:dyDescent="0.3">
      <c r="A521" s="20"/>
      <c r="E521" s="20"/>
    </row>
    <row r="522" spans="1:5" x14ac:dyDescent="0.3">
      <c r="A522" s="20"/>
      <c r="E522" s="20"/>
    </row>
    <row r="523" spans="1:5" x14ac:dyDescent="0.3">
      <c r="A523" s="20"/>
      <c r="E523" s="20"/>
    </row>
    <row r="524" spans="1:5" x14ac:dyDescent="0.3">
      <c r="A524" s="20"/>
      <c r="E524" s="20"/>
    </row>
    <row r="525" spans="1:5" x14ac:dyDescent="0.3">
      <c r="A525" s="20"/>
      <c r="E525" s="20"/>
    </row>
    <row r="526" spans="1:5" x14ac:dyDescent="0.3">
      <c r="A526" s="20"/>
      <c r="E526" s="20"/>
    </row>
    <row r="527" spans="1:5" x14ac:dyDescent="0.3">
      <c r="A527" s="20"/>
      <c r="E527" s="20"/>
    </row>
    <row r="528" spans="1:5" x14ac:dyDescent="0.3">
      <c r="A528" s="20"/>
      <c r="E528" s="20"/>
    </row>
    <row r="529" spans="1:5" x14ac:dyDescent="0.3">
      <c r="A529" s="20"/>
      <c r="E529" s="20"/>
    </row>
    <row r="530" spans="1:5" x14ac:dyDescent="0.3">
      <c r="A530" s="20"/>
      <c r="E530" s="20"/>
    </row>
    <row r="531" spans="1:5" x14ac:dyDescent="0.3">
      <c r="A531" s="20"/>
      <c r="E531" s="20"/>
    </row>
    <row r="532" spans="1:5" x14ac:dyDescent="0.3">
      <c r="A532" s="20"/>
      <c r="E532" s="20"/>
    </row>
    <row r="533" spans="1:5" x14ac:dyDescent="0.3">
      <c r="A533" s="20"/>
      <c r="E533" s="20"/>
    </row>
    <row r="534" spans="1:5" x14ac:dyDescent="0.3">
      <c r="A534" s="20"/>
      <c r="E534" s="20"/>
    </row>
    <row r="535" spans="1:5" x14ac:dyDescent="0.3">
      <c r="A535" s="20"/>
      <c r="E535" s="20"/>
    </row>
    <row r="536" spans="1:5" x14ac:dyDescent="0.3">
      <c r="A536" s="20"/>
      <c r="E536" s="20"/>
    </row>
    <row r="537" spans="1:5" x14ac:dyDescent="0.3">
      <c r="A537" s="20"/>
      <c r="E537" s="20"/>
    </row>
    <row r="538" spans="1:5" x14ac:dyDescent="0.3">
      <c r="A538" s="20"/>
      <c r="E538" s="20"/>
    </row>
    <row r="539" spans="1:5" x14ac:dyDescent="0.3">
      <c r="A539" s="20"/>
      <c r="E539" s="20"/>
    </row>
    <row r="540" spans="1:5" x14ac:dyDescent="0.3">
      <c r="A540" s="20"/>
      <c r="E540" s="20"/>
    </row>
    <row r="541" spans="1:5" x14ac:dyDescent="0.3">
      <c r="A541" s="20"/>
      <c r="E541" s="20"/>
    </row>
    <row r="542" spans="1:5" x14ac:dyDescent="0.3">
      <c r="A542" s="20"/>
      <c r="E542" s="20"/>
    </row>
    <row r="543" spans="1:5" x14ac:dyDescent="0.3">
      <c r="A543" s="20"/>
      <c r="E543" s="20"/>
    </row>
    <row r="544" spans="1:5" x14ac:dyDescent="0.3">
      <c r="A544" s="20"/>
      <c r="E544" s="20"/>
    </row>
    <row r="545" spans="1:5" x14ac:dyDescent="0.3">
      <c r="A545" s="20"/>
      <c r="E545" s="20"/>
    </row>
    <row r="546" spans="1:5" x14ac:dyDescent="0.3">
      <c r="A546" s="20"/>
      <c r="E546" s="20"/>
    </row>
    <row r="547" spans="1:5" x14ac:dyDescent="0.3">
      <c r="A547" s="20"/>
      <c r="E547" s="20"/>
    </row>
    <row r="548" spans="1:5" x14ac:dyDescent="0.3">
      <c r="A548" s="20"/>
      <c r="E548" s="20"/>
    </row>
    <row r="549" spans="1:5" x14ac:dyDescent="0.3">
      <c r="A549" s="20"/>
      <c r="E549" s="20"/>
    </row>
    <row r="550" spans="1:5" x14ac:dyDescent="0.3">
      <c r="A550" s="20"/>
      <c r="E550" s="20"/>
    </row>
    <row r="551" spans="1:5" x14ac:dyDescent="0.3">
      <c r="A551" s="20"/>
      <c r="E551" s="20"/>
    </row>
    <row r="552" spans="1:5" x14ac:dyDescent="0.3">
      <c r="A552" s="20"/>
      <c r="E552" s="20"/>
    </row>
    <row r="553" spans="1:5" x14ac:dyDescent="0.3">
      <c r="A553" s="20"/>
      <c r="E553" s="20"/>
    </row>
    <row r="554" spans="1:5" x14ac:dyDescent="0.3">
      <c r="A554" s="20"/>
      <c r="E554" s="20"/>
    </row>
    <row r="555" spans="1:5" x14ac:dyDescent="0.3">
      <c r="A555" s="20"/>
      <c r="E555" s="20"/>
    </row>
    <row r="556" spans="1:5" x14ac:dyDescent="0.3">
      <c r="A556" s="20"/>
      <c r="E556" s="20"/>
    </row>
    <row r="557" spans="1:5" x14ac:dyDescent="0.3">
      <c r="A557" s="20"/>
      <c r="E557" s="20"/>
    </row>
    <row r="558" spans="1:5" x14ac:dyDescent="0.3">
      <c r="A558" s="20"/>
      <c r="E558" s="20"/>
    </row>
    <row r="559" spans="1:5" x14ac:dyDescent="0.3">
      <c r="A559" s="20"/>
      <c r="E559" s="20"/>
    </row>
    <row r="560" spans="1:5" x14ac:dyDescent="0.3">
      <c r="A560" s="20"/>
      <c r="E560" s="20"/>
    </row>
    <row r="561" spans="1:5" x14ac:dyDescent="0.3">
      <c r="A561" s="20"/>
      <c r="E561" s="20"/>
    </row>
    <row r="562" spans="1:5" x14ac:dyDescent="0.3">
      <c r="A562" s="20"/>
      <c r="E562" s="20"/>
    </row>
    <row r="563" spans="1:5" x14ac:dyDescent="0.3">
      <c r="A563" s="20"/>
      <c r="E563" s="20"/>
    </row>
    <row r="564" spans="1:5" x14ac:dyDescent="0.3">
      <c r="A564" s="20"/>
      <c r="E564" s="20"/>
    </row>
    <row r="565" spans="1:5" x14ac:dyDescent="0.3">
      <c r="A565" s="20"/>
      <c r="E565" s="20"/>
    </row>
    <row r="566" spans="1:5" x14ac:dyDescent="0.3">
      <c r="A566" s="20"/>
      <c r="E566" s="20"/>
    </row>
    <row r="567" spans="1:5" x14ac:dyDescent="0.3">
      <c r="A567" s="20"/>
      <c r="E567" s="20"/>
    </row>
    <row r="568" spans="1:5" x14ac:dyDescent="0.3">
      <c r="A568" s="20"/>
      <c r="E568" s="20"/>
    </row>
    <row r="569" spans="1:5" x14ac:dyDescent="0.3">
      <c r="A569" s="20"/>
      <c r="E569" s="20"/>
    </row>
    <row r="570" spans="1:5" x14ac:dyDescent="0.3">
      <c r="A570" s="20"/>
      <c r="E570" s="20"/>
    </row>
    <row r="571" spans="1:5" x14ac:dyDescent="0.3">
      <c r="A571" s="20"/>
      <c r="E571" s="20"/>
    </row>
    <row r="572" spans="1:5" x14ac:dyDescent="0.3">
      <c r="A572" s="20"/>
      <c r="E572" s="20"/>
    </row>
    <row r="573" spans="1:5" x14ac:dyDescent="0.3">
      <c r="A573" s="20"/>
      <c r="E573" s="20"/>
    </row>
    <row r="574" spans="1:5" x14ac:dyDescent="0.3">
      <c r="A574" s="20"/>
      <c r="E574" s="20"/>
    </row>
    <row r="575" spans="1:5" x14ac:dyDescent="0.3">
      <c r="A575" s="20"/>
      <c r="E575" s="20"/>
    </row>
    <row r="576" spans="1:5" x14ac:dyDescent="0.3">
      <c r="A576" s="20"/>
      <c r="E576" s="20"/>
    </row>
    <row r="577" spans="1:5" x14ac:dyDescent="0.3">
      <c r="A577" s="20"/>
      <c r="E577" s="20"/>
    </row>
    <row r="578" spans="1:5" x14ac:dyDescent="0.3">
      <c r="A578" s="20"/>
      <c r="E578" s="20"/>
    </row>
    <row r="579" spans="1:5" x14ac:dyDescent="0.3">
      <c r="A579" s="20"/>
      <c r="E579" s="20"/>
    </row>
    <row r="580" spans="1:5" x14ac:dyDescent="0.3">
      <c r="A580" s="20"/>
      <c r="E580" s="20"/>
    </row>
    <row r="581" spans="1:5" x14ac:dyDescent="0.3">
      <c r="A581" s="20"/>
      <c r="E581" s="20"/>
    </row>
    <row r="582" spans="1:5" x14ac:dyDescent="0.3">
      <c r="A582" s="20"/>
      <c r="E582" s="20"/>
    </row>
    <row r="583" spans="1:5" x14ac:dyDescent="0.3">
      <c r="A583" s="20"/>
      <c r="E583" s="20"/>
    </row>
    <row r="584" spans="1:5" x14ac:dyDescent="0.3">
      <c r="A584" s="20"/>
      <c r="E584" s="20"/>
    </row>
    <row r="585" spans="1:5" x14ac:dyDescent="0.3">
      <c r="A585" s="20"/>
      <c r="E585" s="20"/>
    </row>
    <row r="586" spans="1:5" x14ac:dyDescent="0.3">
      <c r="A586" s="20"/>
      <c r="E586" s="20"/>
    </row>
    <row r="587" spans="1:5" x14ac:dyDescent="0.3">
      <c r="A587" s="20"/>
      <c r="E587" s="20"/>
    </row>
    <row r="588" spans="1:5" x14ac:dyDescent="0.3">
      <c r="A588" s="20"/>
      <c r="E588" s="20"/>
    </row>
    <row r="589" spans="1:5" x14ac:dyDescent="0.3">
      <c r="A589" s="20"/>
      <c r="E589" s="20"/>
    </row>
    <row r="590" spans="1:5" x14ac:dyDescent="0.3">
      <c r="A590" s="20"/>
      <c r="E590" s="20"/>
    </row>
    <row r="591" spans="1:5" x14ac:dyDescent="0.3">
      <c r="A591" s="20"/>
      <c r="E591" s="20"/>
    </row>
    <row r="592" spans="1:5" x14ac:dyDescent="0.3">
      <c r="A592" s="20"/>
      <c r="E592" s="20"/>
    </row>
    <row r="593" spans="1:5" x14ac:dyDescent="0.3">
      <c r="A593" s="20"/>
      <c r="E593" s="20"/>
    </row>
    <row r="594" spans="1:5" x14ac:dyDescent="0.3">
      <c r="A594" s="20"/>
      <c r="E594" s="20"/>
    </row>
    <row r="595" spans="1:5" x14ac:dyDescent="0.3">
      <c r="A595" s="20"/>
      <c r="E595" s="20"/>
    </row>
    <row r="596" spans="1:5" x14ac:dyDescent="0.3">
      <c r="A596" s="20"/>
      <c r="E596" s="20"/>
    </row>
    <row r="597" spans="1:5" x14ac:dyDescent="0.3">
      <c r="A597" s="20"/>
      <c r="E597" s="20"/>
    </row>
    <row r="598" spans="1:5" x14ac:dyDescent="0.3">
      <c r="A598" s="20"/>
      <c r="E598" s="20"/>
    </row>
    <row r="599" spans="1:5" x14ac:dyDescent="0.3">
      <c r="A599" s="20"/>
      <c r="E599" s="20"/>
    </row>
    <row r="600" spans="1:5" x14ac:dyDescent="0.3">
      <c r="A600" s="20"/>
      <c r="E600" s="20"/>
    </row>
    <row r="601" spans="1:5" x14ac:dyDescent="0.3">
      <c r="A601" s="20"/>
      <c r="E601" s="20"/>
    </row>
    <row r="602" spans="1:5" x14ac:dyDescent="0.3">
      <c r="A602" s="20"/>
      <c r="E602" s="20"/>
    </row>
    <row r="603" spans="1:5" x14ac:dyDescent="0.3">
      <c r="A603" s="20"/>
      <c r="E603" s="20"/>
    </row>
    <row r="604" spans="1:5" x14ac:dyDescent="0.3">
      <c r="A604" s="20"/>
      <c r="E604" s="20"/>
    </row>
    <row r="605" spans="1:5" x14ac:dyDescent="0.3">
      <c r="A605" s="20"/>
      <c r="E605" s="20"/>
    </row>
    <row r="606" spans="1:5" x14ac:dyDescent="0.3">
      <c r="A606" s="20"/>
      <c r="E606" s="20"/>
    </row>
    <row r="607" spans="1:5" x14ac:dyDescent="0.3">
      <c r="A607" s="20"/>
      <c r="E607" s="20"/>
    </row>
    <row r="608" spans="1:5" x14ac:dyDescent="0.3">
      <c r="A608" s="20"/>
      <c r="E608" s="20"/>
    </row>
    <row r="609" spans="1:5" x14ac:dyDescent="0.3">
      <c r="A609" s="20"/>
      <c r="E609" s="20"/>
    </row>
    <row r="610" spans="1:5" x14ac:dyDescent="0.3">
      <c r="A610" s="20"/>
      <c r="E610" s="20"/>
    </row>
    <row r="611" spans="1:5" x14ac:dyDescent="0.3">
      <c r="A611" s="20"/>
      <c r="E611" s="20"/>
    </row>
    <row r="612" spans="1:5" x14ac:dyDescent="0.3">
      <c r="A612" s="20"/>
      <c r="E612" s="20"/>
    </row>
    <row r="613" spans="1:5" x14ac:dyDescent="0.3">
      <c r="A613" s="20"/>
      <c r="E613" s="20"/>
    </row>
    <row r="614" spans="1:5" x14ac:dyDescent="0.3">
      <c r="A614" s="20"/>
      <c r="E614" s="20"/>
    </row>
    <row r="615" spans="1:5" x14ac:dyDescent="0.3">
      <c r="A615" s="20"/>
      <c r="E615" s="20"/>
    </row>
    <row r="616" spans="1:5" x14ac:dyDescent="0.3">
      <c r="A616" s="20"/>
      <c r="E616" s="20"/>
    </row>
    <row r="617" spans="1:5" x14ac:dyDescent="0.3">
      <c r="A617" s="20"/>
      <c r="E617" s="20"/>
    </row>
    <row r="618" spans="1:5" x14ac:dyDescent="0.3">
      <c r="A618" s="20"/>
      <c r="E618" s="20"/>
    </row>
    <row r="619" spans="1:5" x14ac:dyDescent="0.3">
      <c r="A619" s="20"/>
      <c r="E619" s="20"/>
    </row>
    <row r="620" spans="1:5" x14ac:dyDescent="0.3">
      <c r="A620" s="20"/>
      <c r="E620" s="20"/>
    </row>
    <row r="621" spans="1:5" x14ac:dyDescent="0.3">
      <c r="A621" s="20"/>
      <c r="E621" s="20"/>
    </row>
    <row r="622" spans="1:5" x14ac:dyDescent="0.3">
      <c r="A622" s="20"/>
      <c r="E622" s="20"/>
    </row>
    <row r="623" spans="1:5" x14ac:dyDescent="0.3">
      <c r="A623" s="20"/>
      <c r="E623" s="20"/>
    </row>
    <row r="624" spans="1:5" x14ac:dyDescent="0.3">
      <c r="A624" s="20"/>
      <c r="E624" s="20"/>
    </row>
    <row r="625" spans="1:5" x14ac:dyDescent="0.3">
      <c r="A625" s="20"/>
      <c r="E625" s="20"/>
    </row>
    <row r="626" spans="1:5" x14ac:dyDescent="0.3">
      <c r="A626" s="20"/>
      <c r="E626" s="20"/>
    </row>
    <row r="627" spans="1:5" x14ac:dyDescent="0.3">
      <c r="A627" s="20"/>
      <c r="E627" s="20"/>
    </row>
    <row r="628" spans="1:5" x14ac:dyDescent="0.3">
      <c r="A628" s="20"/>
      <c r="E628" s="20"/>
    </row>
    <row r="629" spans="1:5" x14ac:dyDescent="0.3">
      <c r="A629" s="20"/>
      <c r="E629" s="20"/>
    </row>
    <row r="630" spans="1:5" x14ac:dyDescent="0.3">
      <c r="A630" s="20"/>
      <c r="E630" s="20"/>
    </row>
    <row r="631" spans="1:5" x14ac:dyDescent="0.3">
      <c r="A631" s="20"/>
      <c r="E631" s="20"/>
    </row>
    <row r="632" spans="1:5" x14ac:dyDescent="0.3">
      <c r="A632" s="20"/>
      <c r="E632" s="20"/>
    </row>
    <row r="633" spans="1:5" x14ac:dyDescent="0.3">
      <c r="A633" s="20"/>
      <c r="E633" s="20"/>
    </row>
    <row r="634" spans="1:5" x14ac:dyDescent="0.3">
      <c r="A634" s="20"/>
      <c r="E634" s="20"/>
    </row>
    <row r="635" spans="1:5" x14ac:dyDescent="0.3">
      <c r="A635" s="20"/>
      <c r="E635" s="20"/>
    </row>
    <row r="636" spans="1:5" x14ac:dyDescent="0.3">
      <c r="A636" s="20"/>
      <c r="E636" s="20"/>
    </row>
    <row r="637" spans="1:5" x14ac:dyDescent="0.3">
      <c r="A637" s="20"/>
      <c r="E637" s="20"/>
    </row>
    <row r="638" spans="1:5" x14ac:dyDescent="0.3">
      <c r="A638" s="20"/>
      <c r="E638" s="20"/>
    </row>
    <row r="639" spans="1:5" x14ac:dyDescent="0.3">
      <c r="A639" s="20"/>
      <c r="E639" s="20"/>
    </row>
    <row r="640" spans="1:5" x14ac:dyDescent="0.3">
      <c r="A640" s="20"/>
      <c r="E640" s="20"/>
    </row>
    <row r="641" spans="1:5" x14ac:dyDescent="0.3">
      <c r="A641" s="20"/>
      <c r="E641" s="20"/>
    </row>
    <row r="642" spans="1:5" x14ac:dyDescent="0.3">
      <c r="A642" s="20"/>
      <c r="E642" s="20"/>
    </row>
    <row r="643" spans="1:5" x14ac:dyDescent="0.3">
      <c r="A643" s="20"/>
      <c r="E643" s="20"/>
    </row>
    <row r="644" spans="1:5" x14ac:dyDescent="0.3">
      <c r="A644" s="20"/>
      <c r="E644" s="20"/>
    </row>
    <row r="645" spans="1:5" x14ac:dyDescent="0.3">
      <c r="A645" s="20"/>
      <c r="E645" s="20"/>
    </row>
    <row r="646" spans="1:5" x14ac:dyDescent="0.3">
      <c r="A646" s="20"/>
      <c r="E646" s="20"/>
    </row>
    <row r="647" spans="1:5" x14ac:dyDescent="0.3">
      <c r="A647" s="20"/>
      <c r="E647" s="20"/>
    </row>
    <row r="648" spans="1:5" x14ac:dyDescent="0.3">
      <c r="A648" s="20"/>
      <c r="E648" s="20"/>
    </row>
    <row r="649" spans="1:5" x14ac:dyDescent="0.3">
      <c r="A649" s="20"/>
      <c r="E649" s="20"/>
    </row>
    <row r="650" spans="1:5" x14ac:dyDescent="0.3">
      <c r="A650" s="20"/>
      <c r="E650" s="20"/>
    </row>
    <row r="651" spans="1:5" x14ac:dyDescent="0.3">
      <c r="A651" s="20"/>
      <c r="E651" s="20"/>
    </row>
    <row r="652" spans="1:5" x14ac:dyDescent="0.3">
      <c r="A652" s="20"/>
      <c r="E652" s="20"/>
    </row>
    <row r="653" spans="1:5" x14ac:dyDescent="0.3">
      <c r="A653" s="20"/>
      <c r="E653" s="20"/>
    </row>
    <row r="654" spans="1:5" x14ac:dyDescent="0.3">
      <c r="A654" s="20"/>
      <c r="E654" s="20"/>
    </row>
    <row r="655" spans="1:5" x14ac:dyDescent="0.3">
      <c r="A655" s="20"/>
      <c r="E655" s="20"/>
    </row>
    <row r="656" spans="1:5" x14ac:dyDescent="0.3">
      <c r="A656" s="20"/>
      <c r="E656" s="20"/>
    </row>
    <row r="657" spans="1:5" x14ac:dyDescent="0.3">
      <c r="A657" s="20"/>
      <c r="E657" s="20"/>
    </row>
    <row r="658" spans="1:5" x14ac:dyDescent="0.3">
      <c r="A658" s="20"/>
      <c r="E658" s="20"/>
    </row>
    <row r="659" spans="1:5" x14ac:dyDescent="0.3">
      <c r="A659" s="20"/>
      <c r="E659" s="20"/>
    </row>
    <row r="660" spans="1:5" x14ac:dyDescent="0.3">
      <c r="A660" s="20"/>
      <c r="E660" s="20"/>
    </row>
    <row r="661" spans="1:5" x14ac:dyDescent="0.3">
      <c r="A661" s="20"/>
      <c r="E661" s="20"/>
    </row>
    <row r="662" spans="1:5" x14ac:dyDescent="0.3">
      <c r="A662" s="20"/>
      <c r="E662" s="20"/>
    </row>
    <row r="663" spans="1:5" x14ac:dyDescent="0.3">
      <c r="A663" s="20"/>
      <c r="E663" s="20"/>
    </row>
    <row r="664" spans="1:5" x14ac:dyDescent="0.3">
      <c r="A664" s="20"/>
      <c r="E664" s="20"/>
    </row>
    <row r="665" spans="1:5" x14ac:dyDescent="0.3">
      <c r="A665" s="20"/>
      <c r="E665" s="20"/>
    </row>
    <row r="666" spans="1:5" x14ac:dyDescent="0.3">
      <c r="A666" s="20"/>
      <c r="E666" s="20"/>
    </row>
    <row r="667" spans="1:5" x14ac:dyDescent="0.3">
      <c r="A667" s="20"/>
      <c r="E667" s="20"/>
    </row>
    <row r="668" spans="1:5" x14ac:dyDescent="0.3">
      <c r="A668" s="20"/>
      <c r="E668" s="20"/>
    </row>
    <row r="669" spans="1:5" x14ac:dyDescent="0.3">
      <c r="A669" s="20"/>
      <c r="E669" s="20"/>
    </row>
    <row r="670" spans="1:5" x14ac:dyDescent="0.3">
      <c r="A670" s="20"/>
      <c r="E670" s="20"/>
    </row>
    <row r="671" spans="1:5" x14ac:dyDescent="0.3">
      <c r="A671" s="20"/>
      <c r="E671" s="20"/>
    </row>
    <row r="672" spans="1:5" x14ac:dyDescent="0.3">
      <c r="A672" s="20"/>
      <c r="E672" s="20"/>
    </row>
    <row r="673" spans="1:5" x14ac:dyDescent="0.3">
      <c r="A673" s="20"/>
      <c r="E673" s="20"/>
    </row>
    <row r="674" spans="1:5" x14ac:dyDescent="0.3">
      <c r="A674" s="20"/>
      <c r="E674" s="20"/>
    </row>
    <row r="675" spans="1:5" x14ac:dyDescent="0.3">
      <c r="A675" s="20"/>
      <c r="E675" s="20"/>
    </row>
    <row r="676" spans="1:5" x14ac:dyDescent="0.3">
      <c r="A676" s="20"/>
      <c r="E676" s="20"/>
    </row>
    <row r="677" spans="1:5" x14ac:dyDescent="0.3">
      <c r="A677" s="20"/>
      <c r="E677" s="20"/>
    </row>
    <row r="678" spans="1:5" x14ac:dyDescent="0.3">
      <c r="A678" s="20"/>
      <c r="E678" s="20"/>
    </row>
    <row r="679" spans="1:5" x14ac:dyDescent="0.3">
      <c r="A679" s="20"/>
      <c r="E679" s="20"/>
    </row>
    <row r="680" spans="1:5" x14ac:dyDescent="0.3">
      <c r="A680" s="20"/>
      <c r="E680" s="20"/>
    </row>
    <row r="681" spans="1:5" x14ac:dyDescent="0.3">
      <c r="A681" s="20"/>
      <c r="E681" s="20"/>
    </row>
    <row r="682" spans="1:5" x14ac:dyDescent="0.3">
      <c r="A682" s="20"/>
      <c r="E682" s="20"/>
    </row>
    <row r="683" spans="1:5" x14ac:dyDescent="0.3">
      <c r="A683" s="20"/>
      <c r="E683" s="20"/>
    </row>
    <row r="684" spans="1:5" x14ac:dyDescent="0.3">
      <c r="A684" s="20"/>
      <c r="E684" s="20"/>
    </row>
    <row r="685" spans="1:5" x14ac:dyDescent="0.3">
      <c r="A685" s="20"/>
      <c r="E685" s="20"/>
    </row>
    <row r="686" spans="1:5" x14ac:dyDescent="0.3">
      <c r="A686" s="20"/>
      <c r="E686" s="20"/>
    </row>
    <row r="687" spans="1:5" x14ac:dyDescent="0.3">
      <c r="A687" s="20"/>
      <c r="E687" s="20"/>
    </row>
    <row r="688" spans="1:5" x14ac:dyDescent="0.3">
      <c r="A688" s="20"/>
      <c r="E688" s="20"/>
    </row>
    <row r="689" spans="1:5" x14ac:dyDescent="0.3">
      <c r="A689" s="20"/>
      <c r="E689" s="20"/>
    </row>
    <row r="690" spans="1:5" x14ac:dyDescent="0.3">
      <c r="A690" s="20"/>
      <c r="E690" s="20"/>
    </row>
    <row r="691" spans="1:5" x14ac:dyDescent="0.3">
      <c r="A691" s="20"/>
      <c r="E691" s="20"/>
    </row>
    <row r="692" spans="1:5" x14ac:dyDescent="0.3">
      <c r="A692" s="20"/>
      <c r="E692" s="20"/>
    </row>
    <row r="693" spans="1:5" x14ac:dyDescent="0.3">
      <c r="A693" s="20"/>
      <c r="E693" s="20"/>
    </row>
    <row r="694" spans="1:5" x14ac:dyDescent="0.3">
      <c r="A694" s="20"/>
      <c r="E694" s="20"/>
    </row>
    <row r="695" spans="1:5" x14ac:dyDescent="0.3">
      <c r="A695" s="20"/>
      <c r="E695" s="20"/>
    </row>
    <row r="696" spans="1:5" x14ac:dyDescent="0.3">
      <c r="A696" s="20"/>
      <c r="E696" s="20"/>
    </row>
    <row r="697" spans="1:5" x14ac:dyDescent="0.3">
      <c r="A697" s="20"/>
      <c r="E697" s="20"/>
    </row>
    <row r="698" spans="1:5" x14ac:dyDescent="0.3">
      <c r="A698" s="20"/>
      <c r="E698" s="20"/>
    </row>
    <row r="699" spans="1:5" x14ac:dyDescent="0.3">
      <c r="A699" s="20"/>
      <c r="E699" s="20"/>
    </row>
    <row r="700" spans="1:5" x14ac:dyDescent="0.3">
      <c r="A700" s="20"/>
      <c r="E700" s="20"/>
    </row>
    <row r="701" spans="1:5" x14ac:dyDescent="0.3">
      <c r="A701" s="20"/>
      <c r="E701" s="20"/>
    </row>
    <row r="702" spans="1:5" x14ac:dyDescent="0.3">
      <c r="A702" s="20"/>
      <c r="E702" s="20"/>
    </row>
    <row r="703" spans="1:5" x14ac:dyDescent="0.3">
      <c r="A703" s="20"/>
      <c r="E703" s="20"/>
    </row>
    <row r="704" spans="1:5" x14ac:dyDescent="0.3">
      <c r="A704" s="20"/>
      <c r="E704" s="20"/>
    </row>
    <row r="705" spans="1:5" x14ac:dyDescent="0.3">
      <c r="A705" s="20"/>
      <c r="E705" s="20"/>
    </row>
    <row r="706" spans="1:5" x14ac:dyDescent="0.3">
      <c r="A706" s="20"/>
      <c r="E706" s="20"/>
    </row>
    <row r="707" spans="1:5" x14ac:dyDescent="0.3">
      <c r="A707" s="20"/>
      <c r="E707" s="20"/>
    </row>
    <row r="708" spans="1:5" x14ac:dyDescent="0.3">
      <c r="A708" s="20"/>
      <c r="E708" s="20"/>
    </row>
    <row r="709" spans="1:5" x14ac:dyDescent="0.3">
      <c r="A709" s="20"/>
      <c r="E709" s="20"/>
    </row>
    <row r="710" spans="1:5" x14ac:dyDescent="0.3">
      <c r="A710" s="20"/>
      <c r="E710" s="20"/>
    </row>
    <row r="711" spans="1:5" x14ac:dyDescent="0.3">
      <c r="A711" s="20"/>
      <c r="E711" s="20"/>
    </row>
    <row r="712" spans="1:5" x14ac:dyDescent="0.3">
      <c r="A712" s="20"/>
      <c r="E712" s="20"/>
    </row>
    <row r="713" spans="1:5" x14ac:dyDescent="0.3">
      <c r="A713" s="20"/>
      <c r="E713" s="20"/>
    </row>
    <row r="714" spans="1:5" x14ac:dyDescent="0.3">
      <c r="A714" s="20"/>
      <c r="E714" s="20"/>
    </row>
    <row r="715" spans="1:5" x14ac:dyDescent="0.3">
      <c r="A715" s="20"/>
      <c r="E715" s="20"/>
    </row>
    <row r="716" spans="1:5" x14ac:dyDescent="0.3">
      <c r="A716" s="20"/>
      <c r="E716" s="20"/>
    </row>
    <row r="717" spans="1:5" x14ac:dyDescent="0.3">
      <c r="A717" s="20"/>
      <c r="E717" s="20"/>
    </row>
    <row r="718" spans="1:5" x14ac:dyDescent="0.3">
      <c r="A718" s="20"/>
      <c r="E718" s="20"/>
    </row>
    <row r="719" spans="1:5" x14ac:dyDescent="0.3">
      <c r="A719" s="20"/>
      <c r="E719" s="20"/>
    </row>
    <row r="720" spans="1:5" x14ac:dyDescent="0.3">
      <c r="A720" s="20"/>
      <c r="E720" s="20"/>
    </row>
    <row r="721" spans="1:5" x14ac:dyDescent="0.3">
      <c r="A721" s="20"/>
      <c r="E721" s="20"/>
    </row>
    <row r="722" spans="1:5" x14ac:dyDescent="0.3">
      <c r="A722" s="20"/>
      <c r="E722" s="20"/>
    </row>
    <row r="723" spans="1:5" x14ac:dyDescent="0.3">
      <c r="A723" s="20"/>
      <c r="E723" s="20"/>
    </row>
    <row r="724" spans="1:5" x14ac:dyDescent="0.3">
      <c r="A724" s="20"/>
      <c r="E724" s="20"/>
    </row>
    <row r="725" spans="1:5" x14ac:dyDescent="0.3">
      <c r="A725" s="20"/>
      <c r="E725" s="20"/>
    </row>
    <row r="726" spans="1:5" x14ac:dyDescent="0.3">
      <c r="A726" s="20"/>
      <c r="E726" s="20"/>
    </row>
    <row r="727" spans="1:5" x14ac:dyDescent="0.3">
      <c r="A727" s="20"/>
      <c r="E727" s="20"/>
    </row>
    <row r="728" spans="1:5" x14ac:dyDescent="0.3">
      <c r="A728" s="20"/>
      <c r="E728" s="20"/>
    </row>
    <row r="729" spans="1:5" x14ac:dyDescent="0.3">
      <c r="A729" s="20"/>
      <c r="E729" s="20"/>
    </row>
    <row r="730" spans="1:5" x14ac:dyDescent="0.3">
      <c r="A730" s="20"/>
      <c r="E730" s="20"/>
    </row>
    <row r="731" spans="1:5" x14ac:dyDescent="0.3">
      <c r="A731" s="20"/>
      <c r="E731" s="20"/>
    </row>
    <row r="732" spans="1:5" x14ac:dyDescent="0.3">
      <c r="A732" s="20"/>
      <c r="E732" s="20"/>
    </row>
    <row r="733" spans="1:5" x14ac:dyDescent="0.3">
      <c r="A733" s="20"/>
      <c r="E733" s="20"/>
    </row>
    <row r="734" spans="1:5" x14ac:dyDescent="0.3">
      <c r="A734" s="20"/>
      <c r="E734" s="20"/>
    </row>
    <row r="735" spans="1:5" x14ac:dyDescent="0.3">
      <c r="A735" s="20"/>
      <c r="E735" s="20"/>
    </row>
    <row r="736" spans="1:5" x14ac:dyDescent="0.3">
      <c r="A736" s="20"/>
      <c r="E736" s="20"/>
    </row>
    <row r="737" spans="1:5" x14ac:dyDescent="0.3">
      <c r="A737" s="20"/>
      <c r="E737" s="20"/>
    </row>
    <row r="738" spans="1:5" x14ac:dyDescent="0.3">
      <c r="A738" s="20"/>
      <c r="E738" s="20"/>
    </row>
    <row r="739" spans="1:5" x14ac:dyDescent="0.3">
      <c r="A739" s="20"/>
      <c r="E739" s="20"/>
    </row>
    <row r="740" spans="1:5" x14ac:dyDescent="0.3">
      <c r="A740" s="20"/>
      <c r="E740" s="20"/>
    </row>
    <row r="741" spans="1:5" x14ac:dyDescent="0.3">
      <c r="A741" s="20"/>
      <c r="E741" s="20"/>
    </row>
    <row r="742" spans="1:5" x14ac:dyDescent="0.3">
      <c r="A742" s="20"/>
      <c r="E742" s="20"/>
    </row>
    <row r="743" spans="1:5" x14ac:dyDescent="0.3">
      <c r="A743" s="20"/>
      <c r="E743" s="20"/>
    </row>
    <row r="744" spans="1:5" x14ac:dyDescent="0.3">
      <c r="A744" s="20"/>
      <c r="E744" s="20"/>
    </row>
    <row r="745" spans="1:5" x14ac:dyDescent="0.3">
      <c r="A745" s="20"/>
      <c r="E745" s="20"/>
    </row>
    <row r="746" spans="1:5" x14ac:dyDescent="0.3">
      <c r="A746" s="20"/>
      <c r="E746" s="20"/>
    </row>
    <row r="747" spans="1:5" x14ac:dyDescent="0.3">
      <c r="A747" s="20"/>
      <c r="E747" s="20"/>
    </row>
    <row r="748" spans="1:5" x14ac:dyDescent="0.3">
      <c r="A748" s="20"/>
      <c r="E748" s="20"/>
    </row>
    <row r="749" spans="1:5" x14ac:dyDescent="0.3">
      <c r="A749" s="20"/>
      <c r="E749" s="20"/>
    </row>
    <row r="750" spans="1:5" x14ac:dyDescent="0.3">
      <c r="A750" s="20"/>
      <c r="E750" s="20"/>
    </row>
    <row r="751" spans="1:5" x14ac:dyDescent="0.3">
      <c r="A751" s="20"/>
      <c r="E751" s="20"/>
    </row>
    <row r="752" spans="1:5" x14ac:dyDescent="0.3">
      <c r="A752" s="20"/>
      <c r="E752" s="20"/>
    </row>
    <row r="753" spans="1:5" x14ac:dyDescent="0.3">
      <c r="A753" s="20"/>
      <c r="E753" s="20"/>
    </row>
    <row r="754" spans="1:5" x14ac:dyDescent="0.3">
      <c r="A754" s="20"/>
      <c r="E754" s="20"/>
    </row>
    <row r="755" spans="1:5" x14ac:dyDescent="0.3">
      <c r="A755" s="20"/>
      <c r="E755" s="20"/>
    </row>
    <row r="756" spans="1:5" x14ac:dyDescent="0.3">
      <c r="A756" s="20"/>
      <c r="E756" s="20"/>
    </row>
    <row r="757" spans="1:5" x14ac:dyDescent="0.3">
      <c r="A757" s="20"/>
      <c r="E757" s="20"/>
    </row>
    <row r="758" spans="1:5" x14ac:dyDescent="0.3">
      <c r="A758" s="20"/>
      <c r="E758" s="20"/>
    </row>
    <row r="759" spans="1:5" x14ac:dyDescent="0.3">
      <c r="A759" s="20"/>
      <c r="E759" s="20"/>
    </row>
    <row r="760" spans="1:5" x14ac:dyDescent="0.3">
      <c r="A760" s="20"/>
      <c r="E760" s="20"/>
    </row>
    <row r="761" spans="1:5" x14ac:dyDescent="0.3">
      <c r="A761" s="20"/>
      <c r="E761" s="20"/>
    </row>
    <row r="762" spans="1:5" x14ac:dyDescent="0.3">
      <c r="A762" s="20"/>
      <c r="E762" s="20"/>
    </row>
    <row r="763" spans="1:5" x14ac:dyDescent="0.3">
      <c r="A763" s="20"/>
      <c r="E763" s="20"/>
    </row>
    <row r="764" spans="1:5" x14ac:dyDescent="0.3">
      <c r="A764" s="20"/>
      <c r="E764" s="20"/>
    </row>
    <row r="765" spans="1:5" x14ac:dyDescent="0.3">
      <c r="A765" s="20"/>
      <c r="E765" s="20"/>
    </row>
    <row r="766" spans="1:5" x14ac:dyDescent="0.3">
      <c r="A766" s="20"/>
      <c r="E766" s="20"/>
    </row>
    <row r="767" spans="1:5" x14ac:dyDescent="0.3">
      <c r="A767" s="20"/>
      <c r="E767" s="20"/>
    </row>
    <row r="768" spans="1:5" x14ac:dyDescent="0.3">
      <c r="A768" s="20"/>
      <c r="E768" s="20"/>
    </row>
    <row r="769" spans="1:5" x14ac:dyDescent="0.3">
      <c r="A769" s="20"/>
      <c r="E769" s="20"/>
    </row>
    <row r="770" spans="1:5" x14ac:dyDescent="0.3">
      <c r="A770" s="20"/>
      <c r="E770" s="20"/>
    </row>
    <row r="771" spans="1:5" x14ac:dyDescent="0.3">
      <c r="A771" s="20"/>
      <c r="E771" s="20"/>
    </row>
    <row r="772" spans="1:5" x14ac:dyDescent="0.3">
      <c r="A772" s="20"/>
      <c r="E772" s="20"/>
    </row>
    <row r="773" spans="1:5" x14ac:dyDescent="0.3">
      <c r="A773" s="20"/>
      <c r="E773" s="20"/>
    </row>
    <row r="774" spans="1:5" x14ac:dyDescent="0.3">
      <c r="A774" s="20"/>
      <c r="E774" s="20"/>
    </row>
    <row r="775" spans="1:5" x14ac:dyDescent="0.3">
      <c r="A775" s="20"/>
      <c r="E775" s="20"/>
    </row>
    <row r="776" spans="1:5" x14ac:dyDescent="0.3">
      <c r="A776" s="20"/>
      <c r="E776" s="20"/>
    </row>
    <row r="777" spans="1:5" x14ac:dyDescent="0.3">
      <c r="A777" s="20"/>
      <c r="E777" s="20"/>
    </row>
    <row r="778" spans="1:5" x14ac:dyDescent="0.3">
      <c r="A778" s="20"/>
      <c r="E778" s="20"/>
    </row>
    <row r="779" spans="1:5" x14ac:dyDescent="0.3">
      <c r="A779" s="20"/>
      <c r="E779" s="20"/>
    </row>
    <row r="780" spans="1:5" x14ac:dyDescent="0.3">
      <c r="A780" s="20"/>
      <c r="E780" s="20"/>
    </row>
    <row r="781" spans="1:5" x14ac:dyDescent="0.3">
      <c r="A781" s="20"/>
      <c r="E781" s="20"/>
    </row>
    <row r="782" spans="1:5" x14ac:dyDescent="0.3">
      <c r="A782" s="20"/>
      <c r="E782" s="20"/>
    </row>
    <row r="783" spans="1:5" x14ac:dyDescent="0.3">
      <c r="A783" s="20"/>
      <c r="E783" s="20"/>
    </row>
    <row r="784" spans="1:5" x14ac:dyDescent="0.3">
      <c r="A784" s="20"/>
      <c r="E784" s="20"/>
    </row>
    <row r="785" spans="1:5" x14ac:dyDescent="0.3">
      <c r="A785" s="20"/>
      <c r="E785" s="20"/>
    </row>
    <row r="786" spans="1:5" x14ac:dyDescent="0.3">
      <c r="A786" s="20"/>
      <c r="E786" s="20"/>
    </row>
    <row r="787" spans="1:5" x14ac:dyDescent="0.3">
      <c r="A787" s="20"/>
      <c r="E787" s="20"/>
    </row>
    <row r="788" spans="1:5" x14ac:dyDescent="0.3">
      <c r="A788" s="20"/>
      <c r="E788" s="20"/>
    </row>
    <row r="789" spans="1:5" x14ac:dyDescent="0.3">
      <c r="A789" s="20"/>
      <c r="E789" s="20"/>
    </row>
    <row r="790" spans="1:5" x14ac:dyDescent="0.3">
      <c r="A790" s="20"/>
      <c r="E790" s="20"/>
    </row>
    <row r="791" spans="1:5" x14ac:dyDescent="0.3">
      <c r="A791" s="20"/>
      <c r="E791" s="20"/>
    </row>
    <row r="792" spans="1:5" x14ac:dyDescent="0.3">
      <c r="A792" s="20"/>
      <c r="E792" s="20"/>
    </row>
    <row r="793" spans="1:5" x14ac:dyDescent="0.3">
      <c r="A793" s="20"/>
      <c r="E793" s="20"/>
    </row>
    <row r="794" spans="1:5" x14ac:dyDescent="0.3">
      <c r="A794" s="20"/>
      <c r="E794" s="20"/>
    </row>
    <row r="795" spans="1:5" x14ac:dyDescent="0.3">
      <c r="A795" s="20"/>
      <c r="E795" s="20"/>
    </row>
    <row r="796" spans="1:5" x14ac:dyDescent="0.3">
      <c r="A796" s="20"/>
      <c r="E796" s="20"/>
    </row>
    <row r="797" spans="1:5" x14ac:dyDescent="0.3">
      <c r="A797" s="20"/>
      <c r="E797" s="20"/>
    </row>
    <row r="798" spans="1:5" x14ac:dyDescent="0.3">
      <c r="A798" s="20"/>
      <c r="E798" s="20"/>
    </row>
    <row r="799" spans="1:5" x14ac:dyDescent="0.3">
      <c r="A799" s="20"/>
      <c r="E799" s="20"/>
    </row>
    <row r="800" spans="1:5" x14ac:dyDescent="0.3">
      <c r="A800" s="20"/>
      <c r="E800" s="20"/>
    </row>
    <row r="801" spans="1:5" x14ac:dyDescent="0.3">
      <c r="A801" s="20"/>
      <c r="E801" s="20"/>
    </row>
    <row r="802" spans="1:5" x14ac:dyDescent="0.3">
      <c r="A802" s="20"/>
      <c r="E802" s="20"/>
    </row>
    <row r="803" spans="1:5" x14ac:dyDescent="0.3">
      <c r="A803" s="20"/>
      <c r="E803" s="20"/>
    </row>
    <row r="804" spans="1:5" x14ac:dyDescent="0.3">
      <c r="A804" s="20"/>
      <c r="E804" s="20"/>
    </row>
    <row r="805" spans="1:5" x14ac:dyDescent="0.3">
      <c r="A805" s="20"/>
      <c r="E805" s="20"/>
    </row>
    <row r="806" spans="1:5" x14ac:dyDescent="0.3">
      <c r="A806" s="20"/>
      <c r="E806" s="20"/>
    </row>
    <row r="807" spans="1:5" x14ac:dyDescent="0.3">
      <c r="A807" s="20"/>
      <c r="E807" s="20"/>
    </row>
    <row r="808" spans="1:5" x14ac:dyDescent="0.3">
      <c r="A808" s="20"/>
      <c r="E808" s="20"/>
    </row>
    <row r="809" spans="1:5" x14ac:dyDescent="0.3">
      <c r="A809" s="20"/>
      <c r="E809" s="20"/>
    </row>
    <row r="810" spans="1:5" x14ac:dyDescent="0.3">
      <c r="A810" s="20"/>
      <c r="E810" s="20"/>
    </row>
    <row r="811" spans="1:5" x14ac:dyDescent="0.3">
      <c r="A811" s="20"/>
      <c r="E811" s="20"/>
    </row>
    <row r="812" spans="1:5" x14ac:dyDescent="0.3">
      <c r="A812" s="20"/>
      <c r="E812" s="20"/>
    </row>
    <row r="813" spans="1:5" x14ac:dyDescent="0.3">
      <c r="A813" s="20"/>
      <c r="E813" s="20"/>
    </row>
    <row r="814" spans="1:5" x14ac:dyDescent="0.3">
      <c r="A814" s="20"/>
      <c r="E814" s="20"/>
    </row>
    <row r="815" spans="1:5" x14ac:dyDescent="0.3">
      <c r="A815" s="20"/>
      <c r="E815" s="20"/>
    </row>
    <row r="816" spans="1:5" x14ac:dyDescent="0.3">
      <c r="A816" s="20"/>
      <c r="E816" s="20"/>
    </row>
    <row r="817" spans="1:5" x14ac:dyDescent="0.3">
      <c r="A817" s="20"/>
      <c r="E817" s="20"/>
    </row>
    <row r="818" spans="1:5" x14ac:dyDescent="0.3">
      <c r="A818" s="20"/>
      <c r="E818" s="20"/>
    </row>
    <row r="819" spans="1:5" x14ac:dyDescent="0.3">
      <c r="A819" s="20"/>
      <c r="E819" s="20"/>
    </row>
    <row r="820" spans="1:5" x14ac:dyDescent="0.3">
      <c r="A820" s="20"/>
      <c r="E820" s="20"/>
    </row>
    <row r="821" spans="1:5" x14ac:dyDescent="0.3">
      <c r="A821" s="20"/>
      <c r="E821" s="20"/>
    </row>
    <row r="822" spans="1:5" x14ac:dyDescent="0.3">
      <c r="A822" s="20"/>
      <c r="E822" s="20"/>
    </row>
    <row r="823" spans="1:5" x14ac:dyDescent="0.3">
      <c r="A823" s="20"/>
      <c r="E823" s="20"/>
    </row>
    <row r="824" spans="1:5" x14ac:dyDescent="0.3">
      <c r="A824" s="20"/>
      <c r="E824" s="20"/>
    </row>
    <row r="825" spans="1:5" x14ac:dyDescent="0.3">
      <c r="A825" s="20"/>
      <c r="E825" s="20"/>
    </row>
    <row r="826" spans="1:5" x14ac:dyDescent="0.3">
      <c r="A826" s="20"/>
      <c r="E826" s="20"/>
    </row>
    <row r="827" spans="1:5" x14ac:dyDescent="0.3">
      <c r="A827" s="20"/>
      <c r="E827" s="20"/>
    </row>
    <row r="828" spans="1:5" x14ac:dyDescent="0.3">
      <c r="A828" s="20"/>
      <c r="E828" s="20"/>
    </row>
    <row r="829" spans="1:5" x14ac:dyDescent="0.3">
      <c r="A829" s="20"/>
      <c r="E829" s="20"/>
    </row>
    <row r="830" spans="1:5" x14ac:dyDescent="0.3">
      <c r="A830" s="20"/>
      <c r="E830" s="20"/>
    </row>
    <row r="831" spans="1:5" x14ac:dyDescent="0.3">
      <c r="A831" s="20"/>
      <c r="E831" s="20"/>
    </row>
    <row r="832" spans="1:5" x14ac:dyDescent="0.3">
      <c r="A832" s="20"/>
      <c r="E832" s="20"/>
    </row>
    <row r="833" spans="1:5" x14ac:dyDescent="0.3">
      <c r="A833" s="20"/>
      <c r="E833" s="20"/>
    </row>
    <row r="834" spans="1:5" x14ac:dyDescent="0.3">
      <c r="A834" s="20"/>
      <c r="E834" s="20"/>
    </row>
    <row r="835" spans="1:5" x14ac:dyDescent="0.3">
      <c r="A835" s="20"/>
      <c r="E835" s="20"/>
    </row>
    <row r="836" spans="1:5" x14ac:dyDescent="0.3">
      <c r="A836" s="20"/>
      <c r="E836" s="20"/>
    </row>
    <row r="837" spans="1:5" x14ac:dyDescent="0.3">
      <c r="A837" s="20"/>
      <c r="E837" s="20"/>
    </row>
    <row r="838" spans="1:5" x14ac:dyDescent="0.3">
      <c r="A838" s="20"/>
      <c r="E838" s="20"/>
    </row>
    <row r="839" spans="1:5" x14ac:dyDescent="0.3">
      <c r="A839" s="20"/>
      <c r="E839" s="20"/>
    </row>
    <row r="840" spans="1:5" x14ac:dyDescent="0.3">
      <c r="A840" s="20"/>
      <c r="E840" s="20"/>
    </row>
    <row r="841" spans="1:5" x14ac:dyDescent="0.3">
      <c r="A841" s="20"/>
      <c r="E841" s="20"/>
    </row>
    <row r="842" spans="1:5" x14ac:dyDescent="0.3">
      <c r="A842" s="20"/>
      <c r="E842" s="20"/>
    </row>
    <row r="843" spans="1:5" x14ac:dyDescent="0.3">
      <c r="A843" s="20"/>
      <c r="E843" s="20"/>
    </row>
    <row r="844" spans="1:5" x14ac:dyDescent="0.3">
      <c r="A844" s="20"/>
      <c r="E844" s="20"/>
    </row>
    <row r="845" spans="1:5" x14ac:dyDescent="0.3">
      <c r="A845" s="20"/>
      <c r="E845" s="20"/>
    </row>
    <row r="846" spans="1:5" x14ac:dyDescent="0.3">
      <c r="A846" s="20"/>
      <c r="E846" s="20"/>
    </row>
    <row r="847" spans="1:5" x14ac:dyDescent="0.3">
      <c r="A847" s="20"/>
      <c r="E847" s="20"/>
    </row>
    <row r="848" spans="1:5" x14ac:dyDescent="0.3">
      <c r="A848" s="20"/>
      <c r="E848" s="20"/>
    </row>
    <row r="849" spans="1:5" x14ac:dyDescent="0.3">
      <c r="A849" s="20"/>
      <c r="E849" s="20"/>
    </row>
    <row r="850" spans="1:5" x14ac:dyDescent="0.3">
      <c r="A850" s="20"/>
      <c r="E850" s="20"/>
    </row>
    <row r="851" spans="1:5" x14ac:dyDescent="0.3">
      <c r="A851" s="20"/>
      <c r="E851" s="20"/>
    </row>
    <row r="852" spans="1:5" x14ac:dyDescent="0.3">
      <c r="A852" s="20"/>
      <c r="E852" s="20"/>
    </row>
    <row r="853" spans="1:5" x14ac:dyDescent="0.3">
      <c r="A853" s="20"/>
      <c r="E853" s="20"/>
    </row>
    <row r="854" spans="1:5" x14ac:dyDescent="0.3">
      <c r="A854" s="20"/>
      <c r="E854" s="20"/>
    </row>
    <row r="855" spans="1:5" x14ac:dyDescent="0.3">
      <c r="A855" s="20"/>
      <c r="E855" s="20"/>
    </row>
    <row r="856" spans="1:5" x14ac:dyDescent="0.3">
      <c r="A856" s="20"/>
      <c r="E856" s="20"/>
    </row>
    <row r="857" spans="1:5" x14ac:dyDescent="0.3">
      <c r="A857" s="20"/>
      <c r="E857" s="20"/>
    </row>
    <row r="858" spans="1:5" x14ac:dyDescent="0.3">
      <c r="A858" s="20"/>
      <c r="E858" s="20"/>
    </row>
    <row r="859" spans="1:5" x14ac:dyDescent="0.3">
      <c r="A859" s="20"/>
      <c r="E859" s="20"/>
    </row>
    <row r="860" spans="1:5" x14ac:dyDescent="0.3">
      <c r="A860" s="20"/>
      <c r="E860" s="20"/>
    </row>
    <row r="861" spans="1:5" x14ac:dyDescent="0.3">
      <c r="A861" s="20"/>
      <c r="E861" s="20"/>
    </row>
    <row r="862" spans="1:5" x14ac:dyDescent="0.3">
      <c r="A862" s="20"/>
      <c r="E862" s="20"/>
    </row>
    <row r="863" spans="1:5" x14ac:dyDescent="0.3">
      <c r="A863" s="20"/>
      <c r="E863" s="20"/>
    </row>
    <row r="864" spans="1:5" x14ac:dyDescent="0.3">
      <c r="A864" s="20"/>
      <c r="E864" s="20"/>
    </row>
    <row r="865" spans="1:5" x14ac:dyDescent="0.3">
      <c r="A865" s="20"/>
      <c r="E865" s="20"/>
    </row>
    <row r="866" spans="1:5" x14ac:dyDescent="0.3">
      <c r="A866" s="20"/>
      <c r="E866" s="20"/>
    </row>
    <row r="867" spans="1:5" x14ac:dyDescent="0.3">
      <c r="A867" s="20"/>
      <c r="E867" s="20"/>
    </row>
    <row r="868" spans="1:5" x14ac:dyDescent="0.3">
      <c r="A868" s="20"/>
      <c r="E868" s="20"/>
    </row>
    <row r="869" spans="1:5" x14ac:dyDescent="0.3">
      <c r="A869" s="20"/>
      <c r="E869" s="20"/>
    </row>
    <row r="870" spans="1:5" x14ac:dyDescent="0.3">
      <c r="A870" s="20"/>
      <c r="E870" s="20"/>
    </row>
    <row r="871" spans="1:5" x14ac:dyDescent="0.3">
      <c r="A871" s="20"/>
      <c r="E871" s="20"/>
    </row>
    <row r="872" spans="1:5" x14ac:dyDescent="0.3">
      <c r="A872" s="20"/>
      <c r="E872" s="20"/>
    </row>
    <row r="873" spans="1:5" x14ac:dyDescent="0.3">
      <c r="A873" s="20"/>
      <c r="E873" s="20"/>
    </row>
    <row r="874" spans="1:5" x14ac:dyDescent="0.3">
      <c r="A874" s="20"/>
      <c r="E874" s="20"/>
    </row>
    <row r="875" spans="1:5" x14ac:dyDescent="0.3">
      <c r="A875" s="20"/>
      <c r="E875" s="20"/>
    </row>
    <row r="876" spans="1:5" x14ac:dyDescent="0.3">
      <c r="A876" s="20"/>
      <c r="E876" s="20"/>
    </row>
    <row r="877" spans="1:5" x14ac:dyDescent="0.3">
      <c r="A877" s="20"/>
      <c r="E877" s="20"/>
    </row>
    <row r="878" spans="1:5" x14ac:dyDescent="0.3">
      <c r="A878" s="20"/>
      <c r="E878" s="20"/>
    </row>
    <row r="879" spans="1:5" x14ac:dyDescent="0.3">
      <c r="A879" s="20"/>
      <c r="E879" s="20"/>
    </row>
    <row r="880" spans="1:5" x14ac:dyDescent="0.3">
      <c r="A880" s="20"/>
      <c r="E880" s="20"/>
    </row>
    <row r="881" spans="1:5" x14ac:dyDescent="0.3">
      <c r="A881" s="20"/>
      <c r="E881" s="20"/>
    </row>
    <row r="882" spans="1:5" x14ac:dyDescent="0.3">
      <c r="A882" s="20"/>
      <c r="E882" s="20"/>
    </row>
    <row r="883" spans="1:5" x14ac:dyDescent="0.3">
      <c r="A883" s="20"/>
      <c r="E883" s="20"/>
    </row>
    <row r="884" spans="1:5" x14ac:dyDescent="0.3">
      <c r="A884" s="20"/>
      <c r="E884" s="20"/>
    </row>
    <row r="885" spans="1:5" x14ac:dyDescent="0.3">
      <c r="A885" s="20"/>
      <c r="E885" s="20"/>
    </row>
    <row r="886" spans="1:5" x14ac:dyDescent="0.3">
      <c r="A886" s="20"/>
      <c r="E886" s="20"/>
    </row>
    <row r="887" spans="1:5" x14ac:dyDescent="0.3">
      <c r="A887" s="20"/>
      <c r="E887" s="20"/>
    </row>
    <row r="888" spans="1:5" x14ac:dyDescent="0.3">
      <c r="A888" s="20"/>
      <c r="E888" s="20"/>
    </row>
    <row r="889" spans="1:5" x14ac:dyDescent="0.3">
      <c r="A889" s="20"/>
      <c r="E889" s="20"/>
    </row>
    <row r="890" spans="1:5" x14ac:dyDescent="0.3">
      <c r="A890" s="20"/>
      <c r="E890" s="20"/>
    </row>
    <row r="891" spans="1:5" x14ac:dyDescent="0.3">
      <c r="A891" s="20"/>
      <c r="E891" s="20"/>
    </row>
    <row r="892" spans="1:5" x14ac:dyDescent="0.3">
      <c r="A892" s="20"/>
      <c r="E892" s="20"/>
    </row>
    <row r="893" spans="1:5" x14ac:dyDescent="0.3">
      <c r="A893" s="20"/>
      <c r="E893" s="20"/>
    </row>
    <row r="894" spans="1:5" x14ac:dyDescent="0.3">
      <c r="A894" s="20"/>
      <c r="E894" s="20"/>
    </row>
    <row r="895" spans="1:5" x14ac:dyDescent="0.3">
      <c r="A895" s="20"/>
      <c r="E895" s="20"/>
    </row>
    <row r="896" spans="1:5" x14ac:dyDescent="0.3">
      <c r="A896" s="20"/>
      <c r="E896" s="20"/>
    </row>
    <row r="897" spans="1:5" x14ac:dyDescent="0.3">
      <c r="A897" s="20"/>
      <c r="E897" s="20"/>
    </row>
    <row r="898" spans="1:5" x14ac:dyDescent="0.3">
      <c r="A898" s="20"/>
      <c r="E898" s="20"/>
    </row>
    <row r="899" spans="1:5" x14ac:dyDescent="0.3">
      <c r="A899" s="20"/>
      <c r="E899" s="20"/>
    </row>
    <row r="900" spans="1:5" x14ac:dyDescent="0.3">
      <c r="A900" s="20"/>
      <c r="E900" s="20"/>
    </row>
    <row r="901" spans="1:5" x14ac:dyDescent="0.3">
      <c r="A901" s="20"/>
      <c r="E901" s="20"/>
    </row>
    <row r="902" spans="1:5" x14ac:dyDescent="0.3">
      <c r="A902" s="20"/>
      <c r="E902" s="20"/>
    </row>
    <row r="903" spans="1:5" x14ac:dyDescent="0.3">
      <c r="A903" s="20"/>
      <c r="E903" s="20"/>
    </row>
    <row r="904" spans="1:5" x14ac:dyDescent="0.3">
      <c r="A904" s="20"/>
      <c r="E904" s="20"/>
    </row>
    <row r="905" spans="1:5" x14ac:dyDescent="0.3">
      <c r="A905" s="20"/>
      <c r="E905" s="20"/>
    </row>
    <row r="906" spans="1:5" x14ac:dyDescent="0.3">
      <c r="A906" s="20"/>
      <c r="E906" s="20"/>
    </row>
    <row r="907" spans="1:5" x14ac:dyDescent="0.3">
      <c r="A907" s="20"/>
      <c r="E907" s="20"/>
    </row>
    <row r="908" spans="1:5" x14ac:dyDescent="0.3">
      <c r="A908" s="20"/>
      <c r="E908" s="20"/>
    </row>
    <row r="909" spans="1:5" x14ac:dyDescent="0.3">
      <c r="A909" s="20"/>
      <c r="E909" s="20"/>
    </row>
    <row r="910" spans="1:5" x14ac:dyDescent="0.3">
      <c r="A910" s="20"/>
      <c r="E910" s="20"/>
    </row>
    <row r="911" spans="1:5" x14ac:dyDescent="0.3">
      <c r="A911" s="20"/>
      <c r="E911" s="20"/>
    </row>
    <row r="912" spans="1:5" x14ac:dyDescent="0.3">
      <c r="A912" s="20"/>
      <c r="E912" s="20"/>
    </row>
    <row r="913" spans="1:5" x14ac:dyDescent="0.3">
      <c r="A913" s="20"/>
      <c r="E913" s="20"/>
    </row>
    <row r="914" spans="1:5" x14ac:dyDescent="0.3">
      <c r="A914" s="20"/>
      <c r="E914" s="20"/>
    </row>
    <row r="915" spans="1:5" x14ac:dyDescent="0.3">
      <c r="A915" s="20"/>
      <c r="E915" s="20"/>
    </row>
    <row r="916" spans="1:5" x14ac:dyDescent="0.3">
      <c r="A916" s="20"/>
      <c r="E916" s="20"/>
    </row>
    <row r="917" spans="1:5" x14ac:dyDescent="0.3">
      <c r="A917" s="20"/>
      <c r="E917" s="20"/>
    </row>
    <row r="918" spans="1:5" x14ac:dyDescent="0.3">
      <c r="A918" s="20"/>
      <c r="E918" s="20"/>
    </row>
    <row r="919" spans="1:5" x14ac:dyDescent="0.3">
      <c r="A919" s="20"/>
      <c r="E919" s="20"/>
    </row>
    <row r="920" spans="1:5" x14ac:dyDescent="0.3">
      <c r="A920" s="20"/>
      <c r="E920" s="20"/>
    </row>
    <row r="921" spans="1:5" x14ac:dyDescent="0.3">
      <c r="A921" s="20"/>
      <c r="E921" s="20"/>
    </row>
    <row r="922" spans="1:5" x14ac:dyDescent="0.3">
      <c r="A922" s="20"/>
      <c r="E922" s="20"/>
    </row>
    <row r="923" spans="1:5" x14ac:dyDescent="0.3">
      <c r="A923" s="20"/>
      <c r="E923" s="20"/>
    </row>
    <row r="924" spans="1:5" x14ac:dyDescent="0.3">
      <c r="A924" s="20"/>
      <c r="E924" s="20"/>
    </row>
    <row r="925" spans="1:5" x14ac:dyDescent="0.3">
      <c r="A925" s="20"/>
      <c r="E925" s="20"/>
    </row>
    <row r="926" spans="1:5" x14ac:dyDescent="0.3">
      <c r="A926" s="20"/>
      <c r="E926" s="20"/>
    </row>
    <row r="927" spans="1:5" x14ac:dyDescent="0.3">
      <c r="A927" s="20"/>
      <c r="E927" s="20"/>
    </row>
    <row r="928" spans="1:5" x14ac:dyDescent="0.3">
      <c r="A928" s="20"/>
      <c r="E928" s="20"/>
    </row>
    <row r="929" spans="1:5" x14ac:dyDescent="0.3">
      <c r="A929" s="20"/>
      <c r="E929" s="20"/>
    </row>
    <row r="930" spans="1:5" x14ac:dyDescent="0.3">
      <c r="A930" s="20"/>
      <c r="E930" s="20"/>
    </row>
    <row r="931" spans="1:5" x14ac:dyDescent="0.3">
      <c r="A931" s="20"/>
      <c r="E931" s="20"/>
    </row>
    <row r="932" spans="1:5" x14ac:dyDescent="0.3">
      <c r="A932" s="20"/>
      <c r="E932" s="20"/>
    </row>
    <row r="933" spans="1:5" x14ac:dyDescent="0.3">
      <c r="A933" s="20"/>
      <c r="E933" s="20"/>
    </row>
    <row r="934" spans="1:5" x14ac:dyDescent="0.3">
      <c r="A934" s="20"/>
      <c r="E934" s="20"/>
    </row>
    <row r="935" spans="1:5" x14ac:dyDescent="0.3">
      <c r="A935" s="20"/>
      <c r="E935" s="20"/>
    </row>
    <row r="936" spans="1:5" x14ac:dyDescent="0.3">
      <c r="A936" s="20"/>
      <c r="E936" s="20"/>
    </row>
    <row r="937" spans="1:5" x14ac:dyDescent="0.3">
      <c r="A937" s="20"/>
      <c r="E937" s="20"/>
    </row>
    <row r="938" spans="1:5" x14ac:dyDescent="0.3">
      <c r="A938" s="20"/>
      <c r="E938" s="20"/>
    </row>
    <row r="939" spans="1:5" x14ac:dyDescent="0.3">
      <c r="A939" s="20"/>
      <c r="E939" s="20"/>
    </row>
    <row r="940" spans="1:5" x14ac:dyDescent="0.3">
      <c r="A940" s="20"/>
      <c r="E940" s="20"/>
    </row>
    <row r="941" spans="1:5" x14ac:dyDescent="0.3">
      <c r="A941" s="20"/>
      <c r="E941" s="20"/>
    </row>
    <row r="942" spans="1:5" x14ac:dyDescent="0.3">
      <c r="A942" s="20"/>
      <c r="E942" s="20"/>
    </row>
    <row r="943" spans="1:5" x14ac:dyDescent="0.3">
      <c r="A943" s="20"/>
      <c r="E943" s="20"/>
    </row>
    <row r="944" spans="1:5" x14ac:dyDescent="0.3">
      <c r="A944" s="20"/>
      <c r="E944" s="20"/>
    </row>
    <row r="945" spans="1:5" x14ac:dyDescent="0.3">
      <c r="A945" s="20"/>
      <c r="E945" s="20"/>
    </row>
    <row r="946" spans="1:5" x14ac:dyDescent="0.3">
      <c r="A946" s="20"/>
      <c r="E946" s="20"/>
    </row>
    <row r="947" spans="1:5" x14ac:dyDescent="0.3">
      <c r="A947" s="20"/>
      <c r="E947" s="20"/>
    </row>
    <row r="948" spans="1:5" x14ac:dyDescent="0.3">
      <c r="A948" s="20"/>
      <c r="E948" s="20"/>
    </row>
    <row r="949" spans="1:5" x14ac:dyDescent="0.3">
      <c r="A949" s="20"/>
      <c r="E949" s="20"/>
    </row>
    <row r="950" spans="1:5" x14ac:dyDescent="0.3">
      <c r="A950" s="20"/>
      <c r="E950" s="20"/>
    </row>
    <row r="951" spans="1:5" x14ac:dyDescent="0.3">
      <c r="A951" s="20"/>
      <c r="E951" s="20"/>
    </row>
    <row r="952" spans="1:5" x14ac:dyDescent="0.3">
      <c r="A952" s="20"/>
      <c r="E952" s="20"/>
    </row>
    <row r="953" spans="1:5" x14ac:dyDescent="0.3">
      <c r="A953" s="20"/>
      <c r="E953" s="20"/>
    </row>
    <row r="954" spans="1:5" x14ac:dyDescent="0.3">
      <c r="A954" s="20"/>
      <c r="E954" s="20"/>
    </row>
    <row r="955" spans="1:5" x14ac:dyDescent="0.3">
      <c r="A955" s="20"/>
      <c r="E955" s="20"/>
    </row>
    <row r="956" spans="1:5" x14ac:dyDescent="0.3">
      <c r="A956" s="20"/>
      <c r="E956" s="20"/>
    </row>
    <row r="957" spans="1:5" x14ac:dyDescent="0.3">
      <c r="A957" s="20"/>
      <c r="E957" s="20"/>
    </row>
    <row r="958" spans="1:5" x14ac:dyDescent="0.3">
      <c r="A958" s="20"/>
      <c r="E958" s="20"/>
    </row>
    <row r="959" spans="1:5" x14ac:dyDescent="0.3">
      <c r="A959" s="20"/>
      <c r="E959" s="20"/>
    </row>
    <row r="960" spans="1:5" x14ac:dyDescent="0.3">
      <c r="A960" s="20"/>
      <c r="E960" s="20"/>
    </row>
    <row r="961" spans="1:5" x14ac:dyDescent="0.3">
      <c r="A961" s="20"/>
      <c r="E961" s="20"/>
    </row>
    <row r="962" spans="1:5" x14ac:dyDescent="0.3">
      <c r="A962" s="20"/>
      <c r="E962" s="20"/>
    </row>
    <row r="963" spans="1:5" x14ac:dyDescent="0.3">
      <c r="A963" s="20"/>
      <c r="E963" s="20"/>
    </row>
    <row r="964" spans="1:5" x14ac:dyDescent="0.3">
      <c r="A964" s="20"/>
      <c r="E964" s="20"/>
    </row>
    <row r="965" spans="1:5" x14ac:dyDescent="0.3">
      <c r="A965" s="20"/>
      <c r="E965" s="20"/>
    </row>
    <row r="966" spans="1:5" x14ac:dyDescent="0.3">
      <c r="A966" s="20"/>
      <c r="E966" s="20"/>
    </row>
    <row r="967" spans="1:5" x14ac:dyDescent="0.3">
      <c r="A967" s="20"/>
      <c r="E967" s="20"/>
    </row>
    <row r="968" spans="1:5" x14ac:dyDescent="0.3">
      <c r="A968" s="20"/>
      <c r="E968" s="20"/>
    </row>
    <row r="969" spans="1:5" x14ac:dyDescent="0.3">
      <c r="A969" s="20"/>
      <c r="E969" s="20"/>
    </row>
    <row r="970" spans="1:5" x14ac:dyDescent="0.3">
      <c r="A970" s="20"/>
      <c r="E970" s="20"/>
    </row>
    <row r="971" spans="1:5" x14ac:dyDescent="0.3">
      <c r="A971" s="20"/>
      <c r="E971" s="20"/>
    </row>
    <row r="972" spans="1:5" x14ac:dyDescent="0.3">
      <c r="A972" s="20"/>
      <c r="E972" s="20"/>
    </row>
    <row r="973" spans="1:5" x14ac:dyDescent="0.3">
      <c r="A973" s="20"/>
      <c r="E973" s="20"/>
    </row>
    <row r="974" spans="1:5" x14ac:dyDescent="0.3">
      <c r="A974" s="20"/>
      <c r="E974" s="20"/>
    </row>
    <row r="975" spans="1:5" x14ac:dyDescent="0.3">
      <c r="A975" s="20"/>
      <c r="E975" s="20"/>
    </row>
    <row r="976" spans="1:5" x14ac:dyDescent="0.3">
      <c r="A976" s="20"/>
      <c r="E976" s="20"/>
    </row>
    <row r="977" spans="1:5" x14ac:dyDescent="0.3">
      <c r="A977" s="20"/>
      <c r="E977" s="20"/>
    </row>
    <row r="978" spans="1:5" x14ac:dyDescent="0.3">
      <c r="A978" s="20"/>
      <c r="E978" s="20"/>
    </row>
    <row r="979" spans="1:5" x14ac:dyDescent="0.3">
      <c r="A979" s="20"/>
      <c r="E979" s="20"/>
    </row>
    <row r="980" spans="1:5" x14ac:dyDescent="0.3">
      <c r="A980" s="20"/>
      <c r="E980" s="20"/>
    </row>
    <row r="981" spans="1:5" x14ac:dyDescent="0.3">
      <c r="A981" s="20"/>
      <c r="E981" s="20"/>
    </row>
    <row r="982" spans="1:5" x14ac:dyDescent="0.3">
      <c r="A982" s="20"/>
      <c r="E982" s="20"/>
    </row>
    <row r="983" spans="1:5" x14ac:dyDescent="0.3">
      <c r="A983" s="20"/>
      <c r="E983" s="20"/>
    </row>
    <row r="984" spans="1:5" x14ac:dyDescent="0.3">
      <c r="A984" s="20"/>
      <c r="E984" s="20"/>
    </row>
    <row r="985" spans="1:5" x14ac:dyDescent="0.3">
      <c r="A985" s="20"/>
      <c r="E985" s="20"/>
    </row>
    <row r="986" spans="1:5" x14ac:dyDescent="0.3">
      <c r="A986" s="20"/>
      <c r="E986" s="20"/>
    </row>
    <row r="987" spans="1:5" x14ac:dyDescent="0.3">
      <c r="A987" s="20"/>
      <c r="E987" s="20"/>
    </row>
    <row r="988" spans="1:5" x14ac:dyDescent="0.3">
      <c r="A988" s="20"/>
      <c r="E988" s="20"/>
    </row>
    <row r="989" spans="1:5" x14ac:dyDescent="0.3">
      <c r="A989" s="20"/>
      <c r="E989" s="20"/>
    </row>
    <row r="990" spans="1:5" x14ac:dyDescent="0.3">
      <c r="A990" s="20"/>
      <c r="E990" s="20"/>
    </row>
    <row r="991" spans="1:5" x14ac:dyDescent="0.3">
      <c r="A991" s="20"/>
      <c r="E991" s="20"/>
    </row>
    <row r="992" spans="1:5" x14ac:dyDescent="0.3">
      <c r="A992" s="20"/>
      <c r="E992" s="20"/>
    </row>
    <row r="993" spans="1:5" x14ac:dyDescent="0.3">
      <c r="A993" s="20"/>
      <c r="E993" s="20"/>
    </row>
    <row r="994" spans="1:5" x14ac:dyDescent="0.3">
      <c r="A994" s="20"/>
      <c r="E994" s="20"/>
    </row>
    <row r="995" spans="1:5" x14ac:dyDescent="0.3">
      <c r="A995" s="20"/>
      <c r="E995" s="20"/>
    </row>
    <row r="996" spans="1:5" x14ac:dyDescent="0.3">
      <c r="A996" s="20"/>
      <c r="E996" s="20"/>
    </row>
    <row r="997" spans="1:5" x14ac:dyDescent="0.3">
      <c r="A997" s="20"/>
      <c r="E997" s="20"/>
    </row>
    <row r="998" spans="1:5" x14ac:dyDescent="0.3">
      <c r="A998" s="20"/>
      <c r="E998" s="20"/>
    </row>
    <row r="999" spans="1:5" x14ac:dyDescent="0.3">
      <c r="A999" s="20"/>
      <c r="E999" s="20"/>
    </row>
    <row r="1000" spans="1:5" x14ac:dyDescent="0.3">
      <c r="A1000" s="20"/>
      <c r="E1000" s="20"/>
    </row>
    <row r="1001" spans="1:5" x14ac:dyDescent="0.3">
      <c r="A1001" s="20"/>
      <c r="E1001" s="20"/>
    </row>
    <row r="1002" spans="1:5" x14ac:dyDescent="0.3">
      <c r="A1002" s="20"/>
      <c r="E1002" s="20"/>
    </row>
    <row r="1003" spans="1:5" x14ac:dyDescent="0.3">
      <c r="A1003" s="20"/>
      <c r="E1003" s="20"/>
    </row>
    <row r="1004" spans="1:5" x14ac:dyDescent="0.3">
      <c r="A1004" s="20"/>
      <c r="E1004" s="20"/>
    </row>
    <row r="1005" spans="1:5" x14ac:dyDescent="0.3">
      <c r="A1005" s="20"/>
      <c r="E1005" s="20"/>
    </row>
    <row r="1006" spans="1:5" x14ac:dyDescent="0.3">
      <c r="A1006" s="20"/>
      <c r="E1006" s="20"/>
    </row>
    <row r="1007" spans="1:5" x14ac:dyDescent="0.3">
      <c r="A1007" s="20"/>
      <c r="E1007" s="20"/>
    </row>
    <row r="1008" spans="1:5" x14ac:dyDescent="0.3">
      <c r="A1008" s="20"/>
      <c r="E1008" s="20"/>
    </row>
    <row r="1009" spans="1:5" x14ac:dyDescent="0.3">
      <c r="A1009" s="20"/>
      <c r="E1009" s="20"/>
    </row>
    <row r="1010" spans="1:5" x14ac:dyDescent="0.3">
      <c r="A1010" s="20"/>
      <c r="E1010" s="20"/>
    </row>
    <row r="1011" spans="1:5" x14ac:dyDescent="0.3">
      <c r="A1011" s="20"/>
      <c r="E1011" s="20"/>
    </row>
    <row r="1012" spans="1:5" x14ac:dyDescent="0.3">
      <c r="A1012" s="20"/>
      <c r="E1012" s="20"/>
    </row>
    <row r="1013" spans="1:5" x14ac:dyDescent="0.3">
      <c r="A1013" s="20"/>
      <c r="E1013" s="20"/>
    </row>
    <row r="1014" spans="1:5" x14ac:dyDescent="0.3">
      <c r="A1014" s="20"/>
      <c r="E1014" s="20"/>
    </row>
    <row r="1015" spans="1:5" x14ac:dyDescent="0.3">
      <c r="A1015" s="20"/>
      <c r="E1015" s="20"/>
    </row>
    <row r="1016" spans="1:5" x14ac:dyDescent="0.3">
      <c r="A1016" s="20"/>
      <c r="E1016" s="20"/>
    </row>
    <row r="1017" spans="1:5" x14ac:dyDescent="0.3">
      <c r="A1017" s="20"/>
      <c r="E1017" s="20"/>
    </row>
    <row r="1018" spans="1:5" x14ac:dyDescent="0.3">
      <c r="A1018" s="20"/>
      <c r="E1018" s="20"/>
    </row>
    <row r="1019" spans="1:5" x14ac:dyDescent="0.3">
      <c r="A1019" s="20"/>
      <c r="E1019" s="20"/>
    </row>
    <row r="1020" spans="1:5" x14ac:dyDescent="0.3">
      <c r="A1020" s="20"/>
      <c r="E1020" s="20"/>
    </row>
    <row r="1021" spans="1:5" x14ac:dyDescent="0.3">
      <c r="A1021" s="20"/>
      <c r="E1021" s="20"/>
    </row>
    <row r="1022" spans="1:5" x14ac:dyDescent="0.3">
      <c r="A1022" s="20"/>
      <c r="E1022" s="20"/>
    </row>
    <row r="1023" spans="1:5" x14ac:dyDescent="0.3">
      <c r="A1023" s="20"/>
      <c r="E1023" s="20"/>
    </row>
    <row r="1024" spans="1:5" x14ac:dyDescent="0.3">
      <c r="A1024" s="20"/>
      <c r="E1024" s="20"/>
    </row>
    <row r="1025" spans="1:5" x14ac:dyDescent="0.3">
      <c r="A1025" s="20"/>
      <c r="E1025" s="20"/>
    </row>
    <row r="1026" spans="1:5" x14ac:dyDescent="0.3">
      <c r="A1026" s="20"/>
      <c r="E1026" s="20"/>
    </row>
    <row r="1027" spans="1:5" x14ac:dyDescent="0.3">
      <c r="A1027" s="20"/>
      <c r="E1027" s="20"/>
    </row>
    <row r="1028" spans="1:5" x14ac:dyDescent="0.3">
      <c r="A1028" s="20"/>
      <c r="E1028" s="20"/>
    </row>
    <row r="1029" spans="1:5" x14ac:dyDescent="0.3">
      <c r="A1029" s="20"/>
      <c r="E1029" s="20"/>
    </row>
    <row r="1030" spans="1:5" x14ac:dyDescent="0.3">
      <c r="A1030" s="20"/>
      <c r="E1030" s="20"/>
    </row>
    <row r="1031" spans="1:5" x14ac:dyDescent="0.3">
      <c r="A1031" s="20"/>
      <c r="E1031" s="20"/>
    </row>
    <row r="1032" spans="1:5" x14ac:dyDescent="0.3">
      <c r="A1032" s="20"/>
      <c r="E1032" s="20"/>
    </row>
    <row r="1033" spans="1:5" x14ac:dyDescent="0.3">
      <c r="A1033" s="20"/>
      <c r="E1033" s="20"/>
    </row>
    <row r="1034" spans="1:5" x14ac:dyDescent="0.3">
      <c r="A1034" s="20"/>
      <c r="E1034" s="20"/>
    </row>
    <row r="1035" spans="1:5" x14ac:dyDescent="0.3">
      <c r="A1035" s="20"/>
      <c r="E1035" s="20"/>
    </row>
    <row r="1036" spans="1:5" x14ac:dyDescent="0.3">
      <c r="A1036" s="20"/>
      <c r="E1036" s="20"/>
    </row>
    <row r="1037" spans="1:5" x14ac:dyDescent="0.3">
      <c r="A1037" s="20"/>
      <c r="E1037" s="20"/>
    </row>
    <row r="1038" spans="1:5" x14ac:dyDescent="0.3">
      <c r="A1038" s="20"/>
      <c r="E1038" s="20"/>
    </row>
    <row r="1039" spans="1:5" x14ac:dyDescent="0.3">
      <c r="A1039" s="20"/>
      <c r="E1039" s="20"/>
    </row>
    <row r="1040" spans="1:5" x14ac:dyDescent="0.3">
      <c r="A1040" s="20"/>
      <c r="E1040" s="20"/>
    </row>
    <row r="1041" spans="1:5" x14ac:dyDescent="0.3">
      <c r="A1041" s="20"/>
      <c r="E1041" s="20"/>
    </row>
    <row r="1042" spans="1:5" x14ac:dyDescent="0.3">
      <c r="A1042" s="20"/>
      <c r="E1042" s="20"/>
    </row>
    <row r="1043" spans="1:5" x14ac:dyDescent="0.3">
      <c r="A1043" s="20"/>
      <c r="E1043" s="20"/>
    </row>
    <row r="1044" spans="1:5" x14ac:dyDescent="0.3">
      <c r="A1044" s="20"/>
      <c r="E1044" s="20"/>
    </row>
    <row r="1045" spans="1:5" x14ac:dyDescent="0.3">
      <c r="A1045" s="20"/>
      <c r="E1045" s="20"/>
    </row>
    <row r="1046" spans="1:5" x14ac:dyDescent="0.3">
      <c r="A1046" s="20"/>
      <c r="E1046" s="20"/>
    </row>
    <row r="1047" spans="1:5" x14ac:dyDescent="0.3">
      <c r="A1047" s="20"/>
      <c r="E1047" s="20"/>
    </row>
    <row r="1048" spans="1:5" x14ac:dyDescent="0.3">
      <c r="A1048" s="20"/>
      <c r="E1048" s="20"/>
    </row>
    <row r="1049" spans="1:5" x14ac:dyDescent="0.3">
      <c r="A1049" s="20"/>
      <c r="E1049" s="20"/>
    </row>
    <row r="1050" spans="1:5" x14ac:dyDescent="0.3">
      <c r="A1050" s="20"/>
      <c r="E1050" s="20"/>
    </row>
    <row r="1051" spans="1:5" x14ac:dyDescent="0.3">
      <c r="A1051" s="20"/>
      <c r="E1051" s="20"/>
    </row>
    <row r="1052" spans="1:5" x14ac:dyDescent="0.3">
      <c r="A1052" s="20"/>
      <c r="E1052" s="20"/>
    </row>
    <row r="1053" spans="1:5" x14ac:dyDescent="0.3">
      <c r="A1053" s="20"/>
      <c r="E1053" s="20"/>
    </row>
    <row r="1054" spans="1:5" x14ac:dyDescent="0.3">
      <c r="A1054" s="20"/>
      <c r="E1054" s="20"/>
    </row>
    <row r="1055" spans="1:5" x14ac:dyDescent="0.3">
      <c r="A1055" s="20"/>
      <c r="E1055" s="20"/>
    </row>
    <row r="1056" spans="1:5" x14ac:dyDescent="0.3">
      <c r="A1056" s="20"/>
      <c r="E1056" s="20"/>
    </row>
    <row r="1057" spans="1:5" x14ac:dyDescent="0.3">
      <c r="A1057" s="20"/>
      <c r="E1057" s="20"/>
    </row>
    <row r="1058" spans="1:5" x14ac:dyDescent="0.3">
      <c r="A1058" s="20"/>
      <c r="E1058" s="20"/>
    </row>
    <row r="1059" spans="1:5" x14ac:dyDescent="0.3">
      <c r="A1059" s="20"/>
      <c r="E1059" s="20"/>
    </row>
    <row r="1060" spans="1:5" x14ac:dyDescent="0.3">
      <c r="A1060" s="20"/>
      <c r="E1060" s="20"/>
    </row>
    <row r="1061" spans="1:5" x14ac:dyDescent="0.3">
      <c r="A1061" s="20"/>
      <c r="E1061" s="20"/>
    </row>
    <row r="1062" spans="1:5" x14ac:dyDescent="0.3">
      <c r="A1062" s="20"/>
      <c r="E1062" s="20"/>
    </row>
    <row r="1063" spans="1:5" x14ac:dyDescent="0.3">
      <c r="A1063" s="20"/>
      <c r="E1063" s="20"/>
    </row>
    <row r="1064" spans="1:5" x14ac:dyDescent="0.3">
      <c r="A1064" s="20"/>
      <c r="E1064" s="20"/>
    </row>
    <row r="1065" spans="1:5" x14ac:dyDescent="0.3">
      <c r="A1065" s="20"/>
      <c r="E1065" s="20"/>
    </row>
    <row r="1066" spans="1:5" x14ac:dyDescent="0.3">
      <c r="A1066" s="20"/>
      <c r="E1066" s="20"/>
    </row>
    <row r="1067" spans="1:5" x14ac:dyDescent="0.3">
      <c r="A1067" s="20"/>
      <c r="E1067" s="20"/>
    </row>
    <row r="1068" spans="1:5" x14ac:dyDescent="0.3">
      <c r="A1068" s="20"/>
      <c r="E1068" s="20"/>
    </row>
    <row r="1069" spans="1:5" x14ac:dyDescent="0.3">
      <c r="A1069" s="20"/>
      <c r="E1069" s="20"/>
    </row>
    <row r="1070" spans="1:5" x14ac:dyDescent="0.3">
      <c r="A1070" s="20"/>
      <c r="E1070" s="20"/>
    </row>
    <row r="1071" spans="1:5" x14ac:dyDescent="0.3">
      <c r="A1071" s="20"/>
      <c r="E1071" s="20"/>
    </row>
    <row r="1072" spans="1:5" x14ac:dyDescent="0.3">
      <c r="A1072" s="20"/>
      <c r="E1072" s="20"/>
    </row>
    <row r="1073" spans="1:5" x14ac:dyDescent="0.3">
      <c r="A1073" s="20"/>
      <c r="E1073" s="20"/>
    </row>
    <row r="1074" spans="1:5" x14ac:dyDescent="0.3">
      <c r="A1074" s="20"/>
      <c r="E1074" s="20"/>
    </row>
    <row r="1075" spans="1:5" x14ac:dyDescent="0.3">
      <c r="A1075" s="20"/>
      <c r="E1075" s="20"/>
    </row>
    <row r="1076" spans="1:5" x14ac:dyDescent="0.3">
      <c r="A1076" s="20"/>
      <c r="E1076" s="20"/>
    </row>
    <row r="1077" spans="1:5" x14ac:dyDescent="0.3">
      <c r="A1077" s="20"/>
      <c r="E1077" s="20"/>
    </row>
    <row r="1078" spans="1:5" x14ac:dyDescent="0.3">
      <c r="A1078" s="20"/>
      <c r="E1078" s="20"/>
    </row>
    <row r="1079" spans="1:5" x14ac:dyDescent="0.3">
      <c r="A1079" s="20"/>
      <c r="E1079" s="20"/>
    </row>
    <row r="1080" spans="1:5" x14ac:dyDescent="0.3">
      <c r="A1080" s="20"/>
      <c r="E1080" s="20"/>
    </row>
    <row r="1081" spans="1:5" x14ac:dyDescent="0.3">
      <c r="A1081" s="20"/>
      <c r="E1081" s="20"/>
    </row>
    <row r="1082" spans="1:5" x14ac:dyDescent="0.3">
      <c r="A1082" s="20"/>
      <c r="E1082" s="20"/>
    </row>
    <row r="1083" spans="1:5" x14ac:dyDescent="0.3">
      <c r="A1083" s="20"/>
      <c r="E1083" s="20"/>
    </row>
    <row r="1084" spans="1:5" x14ac:dyDescent="0.3">
      <c r="A1084" s="20"/>
      <c r="E1084" s="20"/>
    </row>
    <row r="1085" spans="1:5" x14ac:dyDescent="0.3">
      <c r="A1085" s="20"/>
      <c r="E1085" s="20"/>
    </row>
    <row r="1086" spans="1:5" x14ac:dyDescent="0.3">
      <c r="A1086" s="20"/>
      <c r="E1086" s="20"/>
    </row>
    <row r="1087" spans="1:5" x14ac:dyDescent="0.3">
      <c r="A1087" s="20"/>
      <c r="E1087" s="20"/>
    </row>
    <row r="1088" spans="1:5" x14ac:dyDescent="0.3">
      <c r="A1088" s="20"/>
      <c r="E1088" s="20"/>
    </row>
    <row r="1089" spans="1:5" x14ac:dyDescent="0.3">
      <c r="A1089" s="20"/>
      <c r="E1089" s="20"/>
    </row>
    <row r="1090" spans="1:5" x14ac:dyDescent="0.3">
      <c r="A1090" s="20"/>
      <c r="E1090" s="20"/>
    </row>
    <row r="1091" spans="1:5" x14ac:dyDescent="0.3">
      <c r="A1091" s="20"/>
      <c r="E1091" s="20"/>
    </row>
    <row r="1092" spans="1:5" x14ac:dyDescent="0.3">
      <c r="A1092" s="20"/>
      <c r="E1092" s="20"/>
    </row>
    <row r="1093" spans="1:5" x14ac:dyDescent="0.3">
      <c r="A1093" s="20"/>
      <c r="E1093" s="20"/>
    </row>
    <row r="1094" spans="1:5" x14ac:dyDescent="0.3">
      <c r="A1094" s="20"/>
      <c r="E1094" s="20"/>
    </row>
    <row r="1095" spans="1:5" x14ac:dyDescent="0.3">
      <c r="A1095" s="20"/>
      <c r="E1095" s="20"/>
    </row>
    <row r="1096" spans="1:5" x14ac:dyDescent="0.3">
      <c r="A1096" s="20"/>
      <c r="E1096" s="20"/>
    </row>
    <row r="1097" spans="1:5" x14ac:dyDescent="0.3">
      <c r="A1097" s="20"/>
      <c r="E1097" s="20"/>
    </row>
    <row r="1098" spans="1:5" x14ac:dyDescent="0.3">
      <c r="A1098" s="20"/>
      <c r="E1098" s="20"/>
    </row>
    <row r="1099" spans="1:5" x14ac:dyDescent="0.3">
      <c r="A1099" s="20"/>
      <c r="E1099" s="20"/>
    </row>
    <row r="1100" spans="1:5" x14ac:dyDescent="0.3">
      <c r="A1100" s="20"/>
      <c r="E1100" s="20"/>
    </row>
    <row r="1101" spans="1:5" x14ac:dyDescent="0.3">
      <c r="A1101" s="20"/>
      <c r="E1101" s="20"/>
    </row>
    <row r="1102" spans="1:5" x14ac:dyDescent="0.3">
      <c r="A1102" s="20"/>
      <c r="E1102" s="20"/>
    </row>
    <row r="1103" spans="1:5" x14ac:dyDescent="0.3">
      <c r="A1103" s="20"/>
      <c r="E1103" s="20"/>
    </row>
    <row r="1104" spans="1:5" x14ac:dyDescent="0.3">
      <c r="A1104" s="20"/>
      <c r="E1104" s="20"/>
    </row>
    <row r="1105" spans="1:5" x14ac:dyDescent="0.3">
      <c r="A1105" s="20"/>
      <c r="E1105" s="20"/>
    </row>
    <row r="1106" spans="1:5" x14ac:dyDescent="0.3">
      <c r="A1106" s="20"/>
      <c r="E1106" s="20"/>
    </row>
    <row r="1107" spans="1:5" x14ac:dyDescent="0.3">
      <c r="A1107" s="20"/>
      <c r="E1107" s="20"/>
    </row>
    <row r="1108" spans="1:5" x14ac:dyDescent="0.3">
      <c r="A1108" s="20"/>
      <c r="E1108" s="20"/>
    </row>
    <row r="1109" spans="1:5" x14ac:dyDescent="0.3">
      <c r="A1109" s="20"/>
      <c r="E1109" s="20"/>
    </row>
    <row r="1110" spans="1:5" x14ac:dyDescent="0.3">
      <c r="A1110" s="20"/>
      <c r="E1110" s="20"/>
    </row>
    <row r="1111" spans="1:5" x14ac:dyDescent="0.3">
      <c r="A1111" s="20"/>
      <c r="E1111" s="20"/>
    </row>
    <row r="1112" spans="1:5" x14ac:dyDescent="0.3">
      <c r="A1112" s="20"/>
      <c r="E1112" s="20"/>
    </row>
    <row r="1113" spans="1:5" x14ac:dyDescent="0.3">
      <c r="A1113" s="20"/>
      <c r="E1113" s="20"/>
    </row>
    <row r="1114" spans="1:5" x14ac:dyDescent="0.3">
      <c r="A1114" s="20"/>
      <c r="E1114" s="20"/>
    </row>
    <row r="1115" spans="1:5" x14ac:dyDescent="0.3">
      <c r="A1115" s="20"/>
      <c r="E1115" s="20"/>
    </row>
    <row r="1116" spans="1:5" x14ac:dyDescent="0.3">
      <c r="A1116" s="20"/>
      <c r="E1116" s="20"/>
    </row>
    <row r="1117" spans="1:5" x14ac:dyDescent="0.3">
      <c r="A1117" s="20"/>
      <c r="E1117" s="20"/>
    </row>
    <row r="1118" spans="1:5" x14ac:dyDescent="0.3">
      <c r="A1118" s="20"/>
      <c r="E1118" s="20"/>
    </row>
    <row r="1119" spans="1:5" x14ac:dyDescent="0.3">
      <c r="A1119" s="20"/>
      <c r="E1119" s="20"/>
    </row>
    <row r="1120" spans="1:5" x14ac:dyDescent="0.3">
      <c r="A1120" s="20"/>
      <c r="E1120" s="20"/>
    </row>
    <row r="1121" spans="1:5" x14ac:dyDescent="0.3">
      <c r="A1121" s="20"/>
      <c r="E1121" s="20"/>
    </row>
    <row r="1122" spans="1:5" x14ac:dyDescent="0.3">
      <c r="A1122" s="20"/>
      <c r="E1122" s="20"/>
    </row>
    <row r="1123" spans="1:5" x14ac:dyDescent="0.3">
      <c r="A1123" s="20"/>
      <c r="E1123" s="20"/>
    </row>
    <row r="1124" spans="1:5" x14ac:dyDescent="0.3">
      <c r="A1124" s="20"/>
      <c r="E1124" s="20"/>
    </row>
    <row r="1125" spans="1:5" x14ac:dyDescent="0.3">
      <c r="A1125" s="20"/>
      <c r="E1125" s="20"/>
    </row>
    <row r="1126" spans="1:5" x14ac:dyDescent="0.3">
      <c r="A1126" s="20"/>
      <c r="E1126" s="20"/>
    </row>
    <row r="1127" spans="1:5" x14ac:dyDescent="0.3">
      <c r="A1127" s="20"/>
      <c r="E1127" s="20"/>
    </row>
    <row r="1128" spans="1:5" x14ac:dyDescent="0.3">
      <c r="A1128" s="20"/>
      <c r="E1128" s="20"/>
    </row>
    <row r="1129" spans="1:5" x14ac:dyDescent="0.3">
      <c r="A1129" s="20"/>
      <c r="E1129" s="20"/>
    </row>
    <row r="1130" spans="1:5" x14ac:dyDescent="0.3">
      <c r="A1130" s="20"/>
      <c r="E1130" s="20"/>
    </row>
    <row r="1131" spans="1:5" x14ac:dyDescent="0.3">
      <c r="A1131" s="20"/>
      <c r="E1131" s="20"/>
    </row>
    <row r="1132" spans="1:5" x14ac:dyDescent="0.3">
      <c r="A1132" s="20"/>
      <c r="E1132" s="20"/>
    </row>
    <row r="1133" spans="1:5" x14ac:dyDescent="0.3">
      <c r="A1133" s="20"/>
      <c r="E1133" s="20"/>
    </row>
    <row r="1134" spans="1:5" x14ac:dyDescent="0.3">
      <c r="A1134" s="20"/>
      <c r="E1134" s="20"/>
    </row>
    <row r="1135" spans="1:5" x14ac:dyDescent="0.3">
      <c r="A1135" s="20"/>
      <c r="E1135" s="20"/>
    </row>
    <row r="1136" spans="1:5" x14ac:dyDescent="0.3">
      <c r="A1136" s="20"/>
      <c r="E1136" s="20"/>
    </row>
    <row r="1137" spans="1:5" x14ac:dyDescent="0.3">
      <c r="A1137" s="20"/>
      <c r="E1137" s="20"/>
    </row>
    <row r="1138" spans="1:5" x14ac:dyDescent="0.3">
      <c r="A1138" s="20"/>
      <c r="E1138" s="20"/>
    </row>
    <row r="1139" spans="1:5" x14ac:dyDescent="0.3">
      <c r="A1139" s="20"/>
      <c r="E1139" s="20"/>
    </row>
    <row r="1140" spans="1:5" x14ac:dyDescent="0.3">
      <c r="A1140" s="20"/>
      <c r="E1140" s="20"/>
    </row>
    <row r="1141" spans="1:5" x14ac:dyDescent="0.3">
      <c r="A1141" s="20"/>
      <c r="E1141" s="20"/>
    </row>
    <row r="1142" spans="1:5" x14ac:dyDescent="0.3">
      <c r="A1142" s="20"/>
      <c r="E1142" s="20"/>
    </row>
    <row r="1143" spans="1:5" x14ac:dyDescent="0.3">
      <c r="A1143" s="20"/>
      <c r="E1143" s="20"/>
    </row>
    <row r="1144" spans="1:5" x14ac:dyDescent="0.3">
      <c r="A1144" s="20"/>
      <c r="E1144" s="20"/>
    </row>
    <row r="1145" spans="1:5" x14ac:dyDescent="0.3">
      <c r="A1145" s="20"/>
      <c r="E1145" s="20"/>
    </row>
    <row r="1146" spans="1:5" x14ac:dyDescent="0.3">
      <c r="A1146" s="20"/>
      <c r="E1146" s="20"/>
    </row>
    <row r="1147" spans="1:5" x14ac:dyDescent="0.3">
      <c r="A1147" s="20"/>
      <c r="E1147" s="20"/>
    </row>
    <row r="1148" spans="1:5" x14ac:dyDescent="0.3">
      <c r="A1148" s="20"/>
      <c r="E1148" s="20"/>
    </row>
    <row r="1149" spans="1:5" x14ac:dyDescent="0.3">
      <c r="A1149" s="20"/>
      <c r="E1149" s="20"/>
    </row>
    <row r="1150" spans="1:5" x14ac:dyDescent="0.3">
      <c r="A1150" s="20"/>
      <c r="E1150" s="20"/>
    </row>
    <row r="1151" spans="1:5" x14ac:dyDescent="0.3">
      <c r="A1151" s="20"/>
      <c r="E1151" s="20"/>
    </row>
    <row r="1152" spans="1:5" x14ac:dyDescent="0.3">
      <c r="A1152" s="20"/>
      <c r="E1152" s="20"/>
    </row>
    <row r="1153" spans="1:5" x14ac:dyDescent="0.3">
      <c r="A1153" s="20"/>
      <c r="E1153" s="20"/>
    </row>
    <row r="1154" spans="1:5" x14ac:dyDescent="0.3">
      <c r="A1154" s="20"/>
      <c r="E1154" s="20"/>
    </row>
    <row r="1155" spans="1:5" x14ac:dyDescent="0.3">
      <c r="A1155" s="20"/>
      <c r="E1155" s="20"/>
    </row>
    <row r="1156" spans="1:5" x14ac:dyDescent="0.3">
      <c r="A1156" s="20"/>
      <c r="E1156" s="20"/>
    </row>
    <row r="1157" spans="1:5" x14ac:dyDescent="0.3">
      <c r="A1157" s="20"/>
      <c r="E1157" s="20"/>
    </row>
    <row r="1158" spans="1:5" x14ac:dyDescent="0.3">
      <c r="A1158" s="20"/>
      <c r="E1158" s="20"/>
    </row>
    <row r="1159" spans="1:5" x14ac:dyDescent="0.3">
      <c r="A1159" s="20"/>
      <c r="E1159" s="20"/>
    </row>
    <row r="1160" spans="1:5" x14ac:dyDescent="0.3">
      <c r="A1160" s="20"/>
      <c r="E1160" s="20"/>
    </row>
    <row r="1161" spans="1:5" x14ac:dyDescent="0.3">
      <c r="A1161" s="20"/>
      <c r="E1161" s="20"/>
    </row>
    <row r="1162" spans="1:5" x14ac:dyDescent="0.3">
      <c r="A1162" s="20"/>
      <c r="E1162" s="20"/>
    </row>
    <row r="1163" spans="1:5" x14ac:dyDescent="0.3">
      <c r="A1163" s="20"/>
      <c r="E1163" s="20"/>
    </row>
    <row r="1164" spans="1:5" x14ac:dyDescent="0.3">
      <c r="A1164" s="20"/>
      <c r="E1164" s="20"/>
    </row>
    <row r="1165" spans="1:5" x14ac:dyDescent="0.3">
      <c r="A1165" s="20"/>
      <c r="E1165" s="20"/>
    </row>
    <row r="1166" spans="1:5" x14ac:dyDescent="0.3">
      <c r="A1166" s="20"/>
      <c r="E1166" s="20"/>
    </row>
    <row r="1167" spans="1:5" x14ac:dyDescent="0.3">
      <c r="A1167" s="20"/>
      <c r="E1167" s="20"/>
    </row>
    <row r="1168" spans="1:5" x14ac:dyDescent="0.3">
      <c r="A1168" s="20"/>
      <c r="E1168" s="20"/>
    </row>
    <row r="1169" spans="1:5" x14ac:dyDescent="0.3">
      <c r="A1169" s="20"/>
      <c r="E1169" s="20"/>
    </row>
    <row r="1170" spans="1:5" x14ac:dyDescent="0.3">
      <c r="A1170" s="20"/>
      <c r="E1170" s="20"/>
    </row>
    <row r="1171" spans="1:5" x14ac:dyDescent="0.3">
      <c r="A1171" s="20"/>
      <c r="E1171" s="20"/>
    </row>
    <row r="1172" spans="1:5" x14ac:dyDescent="0.3">
      <c r="A1172" s="20"/>
      <c r="E1172" s="20"/>
    </row>
    <row r="1173" spans="1:5" x14ac:dyDescent="0.3">
      <c r="A1173" s="20"/>
      <c r="E1173" s="20"/>
    </row>
    <row r="1174" spans="1:5" x14ac:dyDescent="0.3">
      <c r="A1174" s="20"/>
      <c r="E1174" s="20"/>
    </row>
    <row r="1175" spans="1:5" x14ac:dyDescent="0.3">
      <c r="A1175" s="20"/>
      <c r="E1175" s="20"/>
    </row>
    <row r="1176" spans="1:5" x14ac:dyDescent="0.3">
      <c r="A1176" s="20"/>
      <c r="E1176" s="20"/>
    </row>
    <row r="1177" spans="1:5" x14ac:dyDescent="0.3">
      <c r="A1177" s="20"/>
      <c r="E1177" s="20"/>
    </row>
    <row r="1178" spans="1:5" x14ac:dyDescent="0.3">
      <c r="A1178" s="20"/>
      <c r="E1178" s="20"/>
    </row>
    <row r="1179" spans="1:5" x14ac:dyDescent="0.3">
      <c r="A1179" s="20"/>
      <c r="E1179" s="20"/>
    </row>
    <row r="1180" spans="1:5" x14ac:dyDescent="0.3">
      <c r="A1180" s="20"/>
      <c r="E1180" s="20"/>
    </row>
    <row r="1181" spans="1:5" x14ac:dyDescent="0.3">
      <c r="A1181" s="20"/>
      <c r="E1181" s="20"/>
    </row>
    <row r="1182" spans="1:5" x14ac:dyDescent="0.3">
      <c r="A1182" s="20"/>
      <c r="E1182" s="20"/>
    </row>
    <row r="1183" spans="1:5" x14ac:dyDescent="0.3">
      <c r="A1183" s="20"/>
      <c r="E1183" s="20"/>
    </row>
    <row r="1184" spans="1:5" x14ac:dyDescent="0.3">
      <c r="A1184" s="20"/>
      <c r="E1184" s="20"/>
    </row>
    <row r="1185" spans="1:5" x14ac:dyDescent="0.3">
      <c r="A1185" s="20"/>
      <c r="E1185" s="20"/>
    </row>
    <row r="1186" spans="1:5" x14ac:dyDescent="0.3">
      <c r="A1186" s="20"/>
      <c r="E1186" s="20"/>
    </row>
    <row r="1187" spans="1:5" x14ac:dyDescent="0.3">
      <c r="A1187" s="20"/>
      <c r="E1187" s="20"/>
    </row>
    <row r="1188" spans="1:5" x14ac:dyDescent="0.3">
      <c r="A1188" s="20"/>
      <c r="E1188" s="20"/>
    </row>
    <row r="1189" spans="1:5" x14ac:dyDescent="0.3">
      <c r="A1189" s="20"/>
      <c r="E1189" s="20"/>
    </row>
    <row r="1190" spans="1:5" x14ac:dyDescent="0.3">
      <c r="A1190" s="20"/>
      <c r="E1190" s="20"/>
    </row>
    <row r="1191" spans="1:5" x14ac:dyDescent="0.3">
      <c r="A1191" s="20"/>
      <c r="E1191" s="20"/>
    </row>
    <row r="1192" spans="1:5" x14ac:dyDescent="0.3">
      <c r="A1192" s="20"/>
      <c r="E1192" s="20"/>
    </row>
    <row r="1193" spans="1:5" x14ac:dyDescent="0.3">
      <c r="A1193" s="20"/>
      <c r="E1193" s="20"/>
    </row>
    <row r="1194" spans="1:5" x14ac:dyDescent="0.3">
      <c r="A1194" s="20"/>
      <c r="E1194" s="20"/>
    </row>
    <row r="1195" spans="1:5" x14ac:dyDescent="0.3">
      <c r="A1195" s="20"/>
      <c r="E1195" s="20"/>
    </row>
    <row r="1196" spans="1:5" x14ac:dyDescent="0.3">
      <c r="A1196" s="20"/>
      <c r="E1196" s="20"/>
    </row>
    <row r="1197" spans="1:5" x14ac:dyDescent="0.3">
      <c r="A1197" s="20"/>
      <c r="E1197" s="20"/>
    </row>
    <row r="1198" spans="1:5" x14ac:dyDescent="0.3">
      <c r="A1198" s="20"/>
      <c r="E1198" s="20"/>
    </row>
    <row r="1199" spans="1:5" x14ac:dyDescent="0.3">
      <c r="A1199" s="20"/>
      <c r="E1199" s="20"/>
    </row>
    <row r="1200" spans="1:5" x14ac:dyDescent="0.3">
      <c r="A1200" s="20"/>
      <c r="E1200" s="20"/>
    </row>
    <row r="1201" spans="1:5" x14ac:dyDescent="0.3">
      <c r="A1201" s="20"/>
      <c r="E1201" s="20"/>
    </row>
    <row r="1202" spans="1:5" x14ac:dyDescent="0.3">
      <c r="A1202" s="20"/>
      <c r="E1202" s="20"/>
    </row>
    <row r="1203" spans="1:5" x14ac:dyDescent="0.3">
      <c r="A1203" s="20"/>
      <c r="E1203" s="20"/>
    </row>
    <row r="1204" spans="1:5" x14ac:dyDescent="0.3">
      <c r="A1204" s="20"/>
      <c r="E1204" s="20"/>
    </row>
    <row r="1205" spans="1:5" x14ac:dyDescent="0.3">
      <c r="A1205" s="20"/>
      <c r="E1205" s="20"/>
    </row>
    <row r="1206" spans="1:5" x14ac:dyDescent="0.3">
      <c r="A1206" s="20"/>
      <c r="E1206" s="20"/>
    </row>
    <row r="1207" spans="1:5" x14ac:dyDescent="0.3">
      <c r="A1207" s="20"/>
      <c r="E1207" s="20"/>
    </row>
    <row r="1208" spans="1:5" x14ac:dyDescent="0.3">
      <c r="A1208" s="20"/>
      <c r="E1208" s="20"/>
    </row>
    <row r="1209" spans="1:5" x14ac:dyDescent="0.3">
      <c r="A1209" s="20"/>
      <c r="E1209" s="20"/>
    </row>
    <row r="1210" spans="1:5" x14ac:dyDescent="0.3">
      <c r="A1210" s="20"/>
      <c r="E1210" s="20"/>
    </row>
    <row r="1211" spans="1:5" x14ac:dyDescent="0.3">
      <c r="A1211" s="20"/>
      <c r="E1211" s="20"/>
    </row>
    <row r="1212" spans="1:5" x14ac:dyDescent="0.3">
      <c r="A1212" s="20"/>
      <c r="E1212" s="20"/>
    </row>
    <row r="1213" spans="1:5" x14ac:dyDescent="0.3">
      <c r="A1213" s="20"/>
      <c r="E1213" s="20"/>
    </row>
    <row r="1214" spans="1:5" x14ac:dyDescent="0.3">
      <c r="A1214" s="20"/>
      <c r="E1214" s="20"/>
    </row>
    <row r="1215" spans="1:5" x14ac:dyDescent="0.3">
      <c r="A1215" s="20"/>
      <c r="E1215" s="20"/>
    </row>
    <row r="1216" spans="1:5" x14ac:dyDescent="0.3">
      <c r="A1216" s="20"/>
      <c r="E1216" s="20"/>
    </row>
    <row r="1217" spans="1:5" x14ac:dyDescent="0.3">
      <c r="A1217" s="20"/>
      <c r="E1217" s="20"/>
    </row>
    <row r="1218" spans="1:5" x14ac:dyDescent="0.3">
      <c r="A1218" s="20"/>
      <c r="E1218" s="20"/>
    </row>
    <row r="1219" spans="1:5" x14ac:dyDescent="0.3">
      <c r="A1219" s="20"/>
      <c r="E1219" s="20"/>
    </row>
    <row r="1220" spans="1:5" x14ac:dyDescent="0.3">
      <c r="A1220" s="20"/>
      <c r="E1220" s="20"/>
    </row>
    <row r="1221" spans="1:5" x14ac:dyDescent="0.3">
      <c r="A1221" s="20"/>
      <c r="E1221" s="20"/>
    </row>
    <row r="1222" spans="1:5" x14ac:dyDescent="0.3">
      <c r="A1222" s="20"/>
      <c r="E1222" s="20"/>
    </row>
    <row r="1223" spans="1:5" x14ac:dyDescent="0.3">
      <c r="A1223" s="20"/>
      <c r="E1223" s="20"/>
    </row>
    <row r="1224" spans="1:5" x14ac:dyDescent="0.3">
      <c r="A1224" s="20"/>
      <c r="E1224" s="20"/>
    </row>
    <row r="1225" spans="1:5" x14ac:dyDescent="0.3">
      <c r="A1225" s="20"/>
      <c r="E1225" s="20"/>
    </row>
    <row r="1226" spans="1:5" x14ac:dyDescent="0.3">
      <c r="A1226" s="20"/>
      <c r="E1226" s="20"/>
    </row>
    <row r="1227" spans="1:5" x14ac:dyDescent="0.3">
      <c r="A1227" s="20"/>
      <c r="E1227" s="20"/>
    </row>
    <row r="1228" spans="1:5" x14ac:dyDescent="0.3">
      <c r="A1228" s="20"/>
      <c r="E1228" s="20"/>
    </row>
    <row r="1229" spans="1:5" x14ac:dyDescent="0.3">
      <c r="A1229" s="20"/>
      <c r="E1229" s="20"/>
    </row>
    <row r="1230" spans="1:5" x14ac:dyDescent="0.3">
      <c r="A1230" s="20"/>
      <c r="E1230" s="20"/>
    </row>
    <row r="1231" spans="1:5" x14ac:dyDescent="0.3">
      <c r="A1231" s="20"/>
      <c r="E1231" s="20"/>
    </row>
    <row r="1232" spans="1:5" x14ac:dyDescent="0.3">
      <c r="A1232" s="20"/>
      <c r="E1232" s="20"/>
    </row>
    <row r="1233" spans="1:5" x14ac:dyDescent="0.3">
      <c r="A1233" s="20"/>
      <c r="E1233" s="20"/>
    </row>
    <row r="1234" spans="1:5" x14ac:dyDescent="0.3">
      <c r="A1234" s="20"/>
      <c r="E1234" s="20"/>
    </row>
    <row r="1235" spans="1:5" x14ac:dyDescent="0.3">
      <c r="A1235" s="20"/>
      <c r="E1235" s="20"/>
    </row>
    <row r="1236" spans="1:5" x14ac:dyDescent="0.3">
      <c r="A1236" s="20"/>
      <c r="E1236" s="20"/>
    </row>
    <row r="1237" spans="1:5" x14ac:dyDescent="0.3">
      <c r="A1237" s="20"/>
      <c r="E1237" s="20"/>
    </row>
    <row r="1238" spans="1:5" x14ac:dyDescent="0.3">
      <c r="A1238" s="20"/>
      <c r="E1238" s="20"/>
    </row>
    <row r="1239" spans="1:5" x14ac:dyDescent="0.3">
      <c r="A1239" s="20"/>
      <c r="E1239" s="20"/>
    </row>
    <row r="1240" spans="1:5" x14ac:dyDescent="0.3">
      <c r="A1240" s="20"/>
      <c r="E1240" s="20"/>
    </row>
    <row r="1241" spans="1:5" x14ac:dyDescent="0.3">
      <c r="A1241" s="20"/>
      <c r="E1241" s="20"/>
    </row>
    <row r="1242" spans="1:5" x14ac:dyDescent="0.3">
      <c r="A1242" s="20"/>
      <c r="E1242" s="20"/>
    </row>
    <row r="1243" spans="1:5" x14ac:dyDescent="0.3">
      <c r="A1243" s="20"/>
      <c r="E1243" s="20"/>
    </row>
    <row r="1244" spans="1:5" x14ac:dyDescent="0.3">
      <c r="A1244" s="20"/>
      <c r="E1244" s="20"/>
    </row>
    <row r="1245" spans="1:5" x14ac:dyDescent="0.3">
      <c r="A1245" s="20"/>
      <c r="E1245" s="20"/>
    </row>
    <row r="1246" spans="1:5" x14ac:dyDescent="0.3">
      <c r="A1246" s="20"/>
      <c r="E1246" s="20"/>
    </row>
    <row r="1247" spans="1:5" x14ac:dyDescent="0.3">
      <c r="A1247" s="20"/>
      <c r="E1247" s="20"/>
    </row>
    <row r="1248" spans="1:5" x14ac:dyDescent="0.3">
      <c r="A1248" s="20"/>
      <c r="E1248" s="20"/>
    </row>
    <row r="1249" spans="1:5" x14ac:dyDescent="0.3">
      <c r="A1249" s="20"/>
      <c r="E1249" s="20"/>
    </row>
    <row r="1250" spans="1:5" x14ac:dyDescent="0.3">
      <c r="A1250" s="20"/>
      <c r="E1250" s="20"/>
    </row>
    <row r="1251" spans="1:5" x14ac:dyDescent="0.3">
      <c r="A1251" s="20"/>
      <c r="E1251" s="20"/>
    </row>
    <row r="1252" spans="1:5" x14ac:dyDescent="0.3">
      <c r="A1252" s="20"/>
      <c r="E1252" s="20"/>
    </row>
    <row r="1253" spans="1:5" x14ac:dyDescent="0.3">
      <c r="A1253" s="20"/>
      <c r="E1253" s="20"/>
    </row>
    <row r="1254" spans="1:5" x14ac:dyDescent="0.3">
      <c r="A1254" s="20"/>
      <c r="E1254" s="20"/>
    </row>
    <row r="1255" spans="1:5" x14ac:dyDescent="0.3">
      <c r="A1255" s="20"/>
      <c r="E1255" s="20"/>
    </row>
    <row r="1256" spans="1:5" x14ac:dyDescent="0.3">
      <c r="A1256" s="20"/>
      <c r="E1256" s="20"/>
    </row>
    <row r="1257" spans="1:5" x14ac:dyDescent="0.3">
      <c r="A1257" s="20"/>
      <c r="E1257" s="20"/>
    </row>
    <row r="1258" spans="1:5" x14ac:dyDescent="0.3">
      <c r="A1258" s="20"/>
      <c r="E1258" s="20"/>
    </row>
    <row r="1259" spans="1:5" x14ac:dyDescent="0.3">
      <c r="A1259" s="20"/>
      <c r="E1259" s="20"/>
    </row>
    <row r="1260" spans="1:5" x14ac:dyDescent="0.3">
      <c r="A1260" s="20"/>
      <c r="E1260" s="20"/>
    </row>
    <row r="1261" spans="1:5" x14ac:dyDescent="0.3">
      <c r="A1261" s="20"/>
      <c r="E1261" s="20"/>
    </row>
    <row r="1262" spans="1:5" x14ac:dyDescent="0.3">
      <c r="A1262" s="20"/>
      <c r="E1262" s="20"/>
    </row>
    <row r="1263" spans="1:5" x14ac:dyDescent="0.3">
      <c r="A1263" s="20"/>
      <c r="E1263" s="20"/>
    </row>
    <row r="1264" spans="1:5" x14ac:dyDescent="0.3">
      <c r="A1264" s="20"/>
      <c r="E1264" s="20"/>
    </row>
    <row r="1265" spans="1:5" x14ac:dyDescent="0.3">
      <c r="A1265" s="20"/>
      <c r="E1265" s="20"/>
    </row>
    <row r="1266" spans="1:5" x14ac:dyDescent="0.3">
      <c r="A1266" s="20"/>
      <c r="E1266" s="20"/>
    </row>
    <row r="1267" spans="1:5" x14ac:dyDescent="0.3">
      <c r="A1267" s="20"/>
      <c r="E1267" s="20"/>
    </row>
    <row r="1268" spans="1:5" x14ac:dyDescent="0.3">
      <c r="A1268" s="20"/>
      <c r="E1268" s="20"/>
    </row>
    <row r="1269" spans="1:5" x14ac:dyDescent="0.3">
      <c r="A1269" s="20"/>
      <c r="E1269" s="20"/>
    </row>
    <row r="1270" spans="1:5" x14ac:dyDescent="0.3">
      <c r="A1270" s="20"/>
      <c r="E1270" s="20"/>
    </row>
    <row r="1271" spans="1:5" x14ac:dyDescent="0.3">
      <c r="A1271" s="20"/>
      <c r="E1271" s="20"/>
    </row>
    <row r="1272" spans="1:5" x14ac:dyDescent="0.3">
      <c r="A1272" s="20"/>
      <c r="E1272" s="20"/>
    </row>
    <row r="1273" spans="1:5" x14ac:dyDescent="0.3">
      <c r="A1273" s="20"/>
      <c r="E1273" s="20"/>
    </row>
    <row r="1274" spans="1:5" x14ac:dyDescent="0.3">
      <c r="A1274" s="20"/>
      <c r="E1274" s="20"/>
    </row>
    <row r="1275" spans="1:5" x14ac:dyDescent="0.3">
      <c r="A1275" s="20"/>
      <c r="E1275" s="20"/>
    </row>
    <row r="1276" spans="1:5" x14ac:dyDescent="0.3">
      <c r="A1276" s="20"/>
      <c r="E1276" s="20"/>
    </row>
    <row r="1277" spans="1:5" x14ac:dyDescent="0.3">
      <c r="A1277" s="20"/>
      <c r="E1277" s="20"/>
    </row>
    <row r="1278" spans="1:5" x14ac:dyDescent="0.3">
      <c r="A1278" s="20"/>
      <c r="E1278" s="20"/>
    </row>
    <row r="1279" spans="1:5" x14ac:dyDescent="0.3">
      <c r="A1279" s="20"/>
      <c r="E1279" s="20"/>
    </row>
    <row r="1280" spans="1:5" x14ac:dyDescent="0.3">
      <c r="A1280" s="20"/>
      <c r="E1280" s="20"/>
    </row>
    <row r="1281" spans="1:5" x14ac:dyDescent="0.3">
      <c r="A1281" s="20"/>
      <c r="E1281" s="20"/>
    </row>
    <row r="1282" spans="1:5" x14ac:dyDescent="0.3">
      <c r="A1282" s="20"/>
      <c r="E1282" s="20"/>
    </row>
    <row r="1283" spans="1:5" x14ac:dyDescent="0.3">
      <c r="A1283" s="20"/>
      <c r="E1283" s="20"/>
    </row>
    <row r="1284" spans="1:5" x14ac:dyDescent="0.3">
      <c r="A1284" s="20"/>
      <c r="E1284" s="20"/>
    </row>
    <row r="1285" spans="1:5" x14ac:dyDescent="0.3">
      <c r="A1285" s="20"/>
      <c r="E1285" s="20"/>
    </row>
    <row r="1286" spans="1:5" x14ac:dyDescent="0.3">
      <c r="A1286" s="20"/>
      <c r="E1286" s="20"/>
    </row>
    <row r="1287" spans="1:5" x14ac:dyDescent="0.3">
      <c r="A1287" s="20"/>
      <c r="E1287" s="20"/>
    </row>
    <row r="1288" spans="1:5" x14ac:dyDescent="0.3">
      <c r="A1288" s="20"/>
      <c r="E1288" s="20"/>
    </row>
    <row r="1289" spans="1:5" x14ac:dyDescent="0.3">
      <c r="A1289" s="20"/>
      <c r="E1289" s="20"/>
    </row>
    <row r="1290" spans="1:5" x14ac:dyDescent="0.3">
      <c r="A1290" s="20"/>
      <c r="E1290" s="20"/>
    </row>
    <row r="1291" spans="1:5" x14ac:dyDescent="0.3">
      <c r="A1291" s="20"/>
      <c r="E1291" s="20"/>
    </row>
    <row r="1292" spans="1:5" x14ac:dyDescent="0.3">
      <c r="A1292" s="20"/>
      <c r="E1292" s="20"/>
    </row>
    <row r="1293" spans="1:5" x14ac:dyDescent="0.3">
      <c r="A1293" s="20"/>
      <c r="E1293" s="20"/>
    </row>
    <row r="1294" spans="1:5" x14ac:dyDescent="0.3">
      <c r="A1294" s="20"/>
      <c r="E1294" s="20"/>
    </row>
    <row r="1295" spans="1:5" x14ac:dyDescent="0.3">
      <c r="A1295" s="20"/>
      <c r="E1295" s="20"/>
    </row>
    <row r="1296" spans="1:5" x14ac:dyDescent="0.3">
      <c r="A1296" s="20"/>
      <c r="E1296" s="20"/>
    </row>
    <row r="1297" spans="1:5" x14ac:dyDescent="0.3">
      <c r="A1297" s="20"/>
      <c r="E1297" s="20"/>
    </row>
    <row r="1298" spans="1:5" x14ac:dyDescent="0.3">
      <c r="A1298" s="20"/>
      <c r="E1298" s="20"/>
    </row>
    <row r="1299" spans="1:5" x14ac:dyDescent="0.3">
      <c r="A1299" s="20"/>
      <c r="E1299" s="20"/>
    </row>
    <row r="1300" spans="1:5" x14ac:dyDescent="0.3">
      <c r="A1300" s="20"/>
      <c r="E1300" s="20"/>
    </row>
    <row r="1301" spans="1:5" x14ac:dyDescent="0.3">
      <c r="A1301" s="20"/>
      <c r="E1301" s="20"/>
    </row>
    <row r="1302" spans="1:5" x14ac:dyDescent="0.3">
      <c r="A1302" s="20"/>
      <c r="E1302" s="20"/>
    </row>
    <row r="1303" spans="1:5" x14ac:dyDescent="0.3">
      <c r="A1303" s="20"/>
      <c r="E1303" s="20"/>
    </row>
    <row r="1304" spans="1:5" x14ac:dyDescent="0.3">
      <c r="A1304" s="20"/>
      <c r="E1304" s="20"/>
    </row>
    <row r="1305" spans="1:5" x14ac:dyDescent="0.3">
      <c r="A1305" s="20"/>
      <c r="E1305" s="20"/>
    </row>
    <row r="1306" spans="1:5" x14ac:dyDescent="0.3">
      <c r="A1306" s="20"/>
      <c r="E1306" s="20"/>
    </row>
    <row r="1307" spans="1:5" x14ac:dyDescent="0.3">
      <c r="A1307" s="20"/>
      <c r="E1307" s="20"/>
    </row>
    <row r="1308" spans="1:5" x14ac:dyDescent="0.3">
      <c r="A1308" s="20"/>
      <c r="E1308" s="20"/>
    </row>
    <row r="1309" spans="1:5" x14ac:dyDescent="0.3">
      <c r="A1309" s="20"/>
      <c r="E1309" s="20"/>
    </row>
    <row r="1310" spans="1:5" x14ac:dyDescent="0.3">
      <c r="A1310" s="20"/>
      <c r="E1310" s="20"/>
    </row>
    <row r="1311" spans="1:5" x14ac:dyDescent="0.3">
      <c r="A1311" s="20"/>
      <c r="E1311" s="20"/>
    </row>
    <row r="1312" spans="1:5" x14ac:dyDescent="0.3">
      <c r="A1312" s="20"/>
      <c r="E1312" s="20"/>
    </row>
    <row r="1313" spans="1:5" x14ac:dyDescent="0.3">
      <c r="A1313" s="20"/>
      <c r="E1313" s="20"/>
    </row>
    <row r="1314" spans="1:5" x14ac:dyDescent="0.3">
      <c r="A1314" s="20"/>
      <c r="E1314" s="20"/>
    </row>
    <row r="1315" spans="1:5" x14ac:dyDescent="0.3">
      <c r="A1315" s="20"/>
      <c r="E1315" s="20"/>
    </row>
    <row r="1316" spans="1:5" x14ac:dyDescent="0.3">
      <c r="A1316" s="20"/>
      <c r="E1316" s="20"/>
    </row>
    <row r="1317" spans="1:5" x14ac:dyDescent="0.3">
      <c r="A1317" s="20"/>
      <c r="E1317" s="20"/>
    </row>
    <row r="1318" spans="1:5" x14ac:dyDescent="0.3">
      <c r="A1318" s="20"/>
      <c r="E1318" s="20"/>
    </row>
    <row r="1319" spans="1:5" x14ac:dyDescent="0.3">
      <c r="A1319" s="20"/>
      <c r="E1319" s="20"/>
    </row>
    <row r="1320" spans="1:5" x14ac:dyDescent="0.3">
      <c r="A1320" s="20"/>
      <c r="E1320" s="20"/>
    </row>
    <row r="1321" spans="1:5" x14ac:dyDescent="0.3">
      <c r="A1321" s="20"/>
      <c r="E1321" s="20"/>
    </row>
    <row r="1322" spans="1:5" x14ac:dyDescent="0.3">
      <c r="A1322" s="20"/>
      <c r="E1322" s="20"/>
    </row>
    <row r="1323" spans="1:5" x14ac:dyDescent="0.3">
      <c r="A1323" s="20"/>
      <c r="E1323" s="20"/>
    </row>
    <row r="1324" spans="1:5" x14ac:dyDescent="0.3">
      <c r="A1324" s="20"/>
      <c r="E1324" s="20"/>
    </row>
    <row r="1325" spans="1:5" x14ac:dyDescent="0.3">
      <c r="A1325" s="20"/>
      <c r="E1325" s="20"/>
    </row>
    <row r="1326" spans="1:5" x14ac:dyDescent="0.3">
      <c r="A1326" s="20"/>
      <c r="E1326" s="20"/>
    </row>
    <row r="1327" spans="1:5" x14ac:dyDescent="0.3">
      <c r="A1327" s="20"/>
      <c r="E1327" s="20"/>
    </row>
    <row r="1328" spans="1:5" x14ac:dyDescent="0.3">
      <c r="A1328" s="20"/>
      <c r="E1328" s="20"/>
    </row>
    <row r="1329" spans="1:5" x14ac:dyDescent="0.3">
      <c r="A1329" s="20"/>
      <c r="E1329" s="20"/>
    </row>
    <row r="1330" spans="1:5" x14ac:dyDescent="0.3">
      <c r="A1330" s="20"/>
      <c r="E1330" s="20"/>
    </row>
    <row r="1331" spans="1:5" x14ac:dyDescent="0.3">
      <c r="A1331" s="20"/>
      <c r="E1331" s="20"/>
    </row>
    <row r="1332" spans="1:5" x14ac:dyDescent="0.3">
      <c r="A1332" s="20"/>
      <c r="E1332" s="20"/>
    </row>
    <row r="1333" spans="1:5" x14ac:dyDescent="0.3">
      <c r="A1333" s="20"/>
      <c r="E1333" s="20"/>
    </row>
    <row r="1334" spans="1:5" x14ac:dyDescent="0.3">
      <c r="A1334" s="20"/>
      <c r="E1334" s="20"/>
    </row>
    <row r="1335" spans="1:5" x14ac:dyDescent="0.3">
      <c r="A1335" s="20"/>
      <c r="E1335" s="20"/>
    </row>
    <row r="1336" spans="1:5" x14ac:dyDescent="0.3">
      <c r="A1336" s="20"/>
      <c r="E1336" s="20"/>
    </row>
    <row r="1337" spans="1:5" x14ac:dyDescent="0.3">
      <c r="A1337" s="20"/>
      <c r="E1337" s="20"/>
    </row>
    <row r="1338" spans="1:5" x14ac:dyDescent="0.3">
      <c r="A1338" s="20"/>
      <c r="E1338" s="20"/>
    </row>
    <row r="1339" spans="1:5" x14ac:dyDescent="0.3">
      <c r="A1339" s="20"/>
      <c r="E1339" s="20"/>
    </row>
    <row r="1340" spans="1:5" x14ac:dyDescent="0.3">
      <c r="A1340" s="20"/>
      <c r="E1340" s="20"/>
    </row>
    <row r="1341" spans="1:5" x14ac:dyDescent="0.3">
      <c r="A1341" s="20"/>
      <c r="E1341" s="20"/>
    </row>
    <row r="1342" spans="1:5" x14ac:dyDescent="0.3">
      <c r="A1342" s="20"/>
      <c r="E1342" s="20"/>
    </row>
    <row r="1343" spans="1:5" x14ac:dyDescent="0.3">
      <c r="A1343" s="20"/>
      <c r="E1343" s="20"/>
    </row>
    <row r="1344" spans="1:5" x14ac:dyDescent="0.3">
      <c r="A1344" s="20"/>
      <c r="E1344" s="20"/>
    </row>
    <row r="1345" spans="1:5" x14ac:dyDescent="0.3">
      <c r="A1345" s="20"/>
      <c r="E1345" s="20"/>
    </row>
    <row r="1346" spans="1:5" x14ac:dyDescent="0.3">
      <c r="A1346" s="20"/>
      <c r="E1346" s="20"/>
    </row>
    <row r="1347" spans="1:5" x14ac:dyDescent="0.3">
      <c r="A1347" s="20"/>
      <c r="E1347" s="20"/>
    </row>
    <row r="1348" spans="1:5" x14ac:dyDescent="0.3">
      <c r="A1348" s="20"/>
      <c r="E1348" s="20"/>
    </row>
    <row r="1349" spans="1:5" x14ac:dyDescent="0.3">
      <c r="A1349" s="20"/>
      <c r="E1349" s="20"/>
    </row>
    <row r="1350" spans="1:5" x14ac:dyDescent="0.3">
      <c r="A1350" s="20"/>
      <c r="E1350" s="20"/>
    </row>
    <row r="1351" spans="1:5" x14ac:dyDescent="0.3">
      <c r="A1351" s="20"/>
      <c r="E1351" s="20"/>
    </row>
    <row r="1352" spans="1:5" x14ac:dyDescent="0.3">
      <c r="A1352" s="20"/>
      <c r="E1352" s="20"/>
    </row>
    <row r="1353" spans="1:5" x14ac:dyDescent="0.3">
      <c r="A1353" s="20"/>
      <c r="E1353" s="20"/>
    </row>
    <row r="1354" spans="1:5" x14ac:dyDescent="0.3">
      <c r="A1354" s="20"/>
      <c r="E1354" s="20"/>
    </row>
    <row r="1355" spans="1:5" x14ac:dyDescent="0.3">
      <c r="A1355" s="20"/>
      <c r="E1355" s="20"/>
    </row>
    <row r="1356" spans="1:5" x14ac:dyDescent="0.3">
      <c r="A1356" s="20"/>
      <c r="E1356" s="20"/>
    </row>
    <row r="1357" spans="1:5" x14ac:dyDescent="0.3">
      <c r="A1357" s="20"/>
      <c r="E1357" s="20"/>
    </row>
    <row r="1358" spans="1:5" x14ac:dyDescent="0.3">
      <c r="A1358" s="20"/>
      <c r="E1358" s="20"/>
    </row>
    <row r="1359" spans="1:5" x14ac:dyDescent="0.3">
      <c r="A1359" s="20"/>
      <c r="E1359" s="20"/>
    </row>
    <row r="1360" spans="1:5" x14ac:dyDescent="0.3">
      <c r="A1360" s="20"/>
      <c r="E1360" s="20"/>
    </row>
    <row r="1361" spans="1:5" x14ac:dyDescent="0.3">
      <c r="A1361" s="20"/>
      <c r="E1361" s="20"/>
    </row>
    <row r="1362" spans="1:5" x14ac:dyDescent="0.3">
      <c r="A1362" s="20"/>
      <c r="E1362" s="20"/>
    </row>
    <row r="1363" spans="1:5" x14ac:dyDescent="0.3">
      <c r="A1363" s="20"/>
      <c r="E1363" s="20"/>
    </row>
    <row r="1364" spans="1:5" x14ac:dyDescent="0.3">
      <c r="A1364" s="20"/>
      <c r="E1364" s="20"/>
    </row>
    <row r="1365" spans="1:5" x14ac:dyDescent="0.3">
      <c r="A1365" s="20"/>
      <c r="E1365" s="20"/>
    </row>
    <row r="1366" spans="1:5" x14ac:dyDescent="0.3">
      <c r="A1366" s="20"/>
      <c r="E1366" s="20"/>
    </row>
    <row r="1367" spans="1:5" x14ac:dyDescent="0.3">
      <c r="A1367" s="20"/>
      <c r="E1367" s="20"/>
    </row>
    <row r="1368" spans="1:5" x14ac:dyDescent="0.3">
      <c r="A1368" s="20"/>
      <c r="E1368" s="20"/>
    </row>
    <row r="1369" spans="1:5" x14ac:dyDescent="0.3">
      <c r="A1369" s="20"/>
      <c r="E1369" s="20"/>
    </row>
    <row r="1370" spans="1:5" x14ac:dyDescent="0.3">
      <c r="A1370" s="20"/>
      <c r="E1370" s="20"/>
    </row>
    <row r="1371" spans="1:5" x14ac:dyDescent="0.3">
      <c r="A1371" s="20"/>
      <c r="E1371" s="20"/>
    </row>
    <row r="1372" spans="1:5" x14ac:dyDescent="0.3">
      <c r="A1372" s="20"/>
      <c r="E1372" s="20"/>
    </row>
    <row r="1373" spans="1:5" x14ac:dyDescent="0.3">
      <c r="A1373" s="20"/>
      <c r="E1373" s="20"/>
    </row>
    <row r="1374" spans="1:5" x14ac:dyDescent="0.3">
      <c r="A1374" s="20"/>
      <c r="E1374" s="20"/>
    </row>
    <row r="1375" spans="1:5" x14ac:dyDescent="0.3">
      <c r="A1375" s="20"/>
      <c r="E1375" s="20"/>
    </row>
    <row r="1376" spans="1:5" x14ac:dyDescent="0.3">
      <c r="A1376" s="20"/>
      <c r="E1376" s="20"/>
    </row>
    <row r="1377" spans="1:5" x14ac:dyDescent="0.3">
      <c r="A1377" s="20"/>
      <c r="E1377" s="20"/>
    </row>
    <row r="1378" spans="1:5" x14ac:dyDescent="0.3">
      <c r="A1378" s="20"/>
      <c r="E1378" s="20"/>
    </row>
    <row r="1379" spans="1:5" x14ac:dyDescent="0.3">
      <c r="A1379" s="20"/>
      <c r="E1379" s="20"/>
    </row>
    <row r="1380" spans="1:5" x14ac:dyDescent="0.3">
      <c r="A1380" s="20"/>
      <c r="E1380" s="20"/>
    </row>
    <row r="1381" spans="1:5" x14ac:dyDescent="0.3">
      <c r="A1381" s="20"/>
      <c r="E1381" s="20"/>
    </row>
    <row r="1382" spans="1:5" x14ac:dyDescent="0.3">
      <c r="A1382" s="20"/>
      <c r="E1382" s="20"/>
    </row>
    <row r="1383" spans="1:5" x14ac:dyDescent="0.3">
      <c r="A1383" s="20"/>
      <c r="E1383" s="20"/>
    </row>
    <row r="1384" spans="1:5" x14ac:dyDescent="0.3">
      <c r="A1384" s="20"/>
      <c r="E1384" s="20"/>
    </row>
    <row r="1385" spans="1:5" x14ac:dyDescent="0.3">
      <c r="A1385" s="20"/>
      <c r="E1385" s="20"/>
    </row>
    <row r="1386" spans="1:5" x14ac:dyDescent="0.3">
      <c r="A1386" s="20"/>
      <c r="E1386" s="20"/>
    </row>
    <row r="1387" spans="1:5" x14ac:dyDescent="0.3">
      <c r="A1387" s="20"/>
      <c r="E1387" s="20"/>
    </row>
    <row r="1388" spans="1:5" x14ac:dyDescent="0.3">
      <c r="A1388" s="20"/>
      <c r="E1388" s="20"/>
    </row>
    <row r="1389" spans="1:5" x14ac:dyDescent="0.3">
      <c r="A1389" s="20"/>
      <c r="E1389" s="20"/>
    </row>
    <row r="1390" spans="1:5" x14ac:dyDescent="0.3">
      <c r="A1390" s="20"/>
      <c r="E1390" s="20"/>
    </row>
    <row r="1391" spans="1:5" x14ac:dyDescent="0.3">
      <c r="A1391" s="20"/>
      <c r="E1391" s="20"/>
    </row>
    <row r="1392" spans="1:5" x14ac:dyDescent="0.3">
      <c r="A1392" s="20"/>
      <c r="E1392" s="20"/>
    </row>
    <row r="1393" spans="1:5" x14ac:dyDescent="0.3">
      <c r="A1393" s="20"/>
      <c r="E1393" s="20"/>
    </row>
    <row r="1394" spans="1:5" x14ac:dyDescent="0.3">
      <c r="A1394" s="20"/>
      <c r="E1394" s="20"/>
    </row>
    <row r="1395" spans="1:5" x14ac:dyDescent="0.3">
      <c r="A1395" s="20"/>
      <c r="E1395" s="20"/>
    </row>
    <row r="1396" spans="1:5" x14ac:dyDescent="0.3">
      <c r="A1396" s="20"/>
      <c r="E1396" s="20"/>
    </row>
    <row r="1397" spans="1:5" x14ac:dyDescent="0.3">
      <c r="A1397" s="20"/>
      <c r="E1397" s="20"/>
    </row>
    <row r="1398" spans="1:5" x14ac:dyDescent="0.3">
      <c r="A1398" s="20"/>
      <c r="E1398" s="20"/>
    </row>
    <row r="1399" spans="1:5" x14ac:dyDescent="0.3">
      <c r="A1399" s="20"/>
      <c r="E1399" s="20"/>
    </row>
    <row r="1400" spans="1:5" x14ac:dyDescent="0.3">
      <c r="A1400" s="20"/>
      <c r="E1400" s="20"/>
    </row>
    <row r="1401" spans="1:5" x14ac:dyDescent="0.3">
      <c r="A1401" s="20"/>
      <c r="E1401" s="20"/>
    </row>
    <row r="1402" spans="1:5" x14ac:dyDescent="0.3">
      <c r="A1402" s="20"/>
      <c r="E1402" s="20"/>
    </row>
    <row r="1403" spans="1:5" x14ac:dyDescent="0.3">
      <c r="A1403" s="20"/>
      <c r="E1403" s="20"/>
    </row>
    <row r="1404" spans="1:5" x14ac:dyDescent="0.3">
      <c r="A1404" s="20"/>
      <c r="E1404" s="20"/>
    </row>
    <row r="1405" spans="1:5" x14ac:dyDescent="0.3">
      <c r="A1405" s="20"/>
      <c r="E1405" s="20"/>
    </row>
    <row r="1406" spans="1:5" x14ac:dyDescent="0.3">
      <c r="A1406" s="20"/>
      <c r="E1406" s="20"/>
    </row>
    <row r="1407" spans="1:5" x14ac:dyDescent="0.3">
      <c r="A1407" s="20"/>
      <c r="E1407" s="20"/>
    </row>
    <row r="1408" spans="1:5" x14ac:dyDescent="0.3">
      <c r="A1408" s="20"/>
      <c r="E1408" s="20"/>
    </row>
    <row r="1409" spans="1:5" x14ac:dyDescent="0.3">
      <c r="A1409" s="20"/>
      <c r="E1409" s="20"/>
    </row>
    <row r="1410" spans="1:5" x14ac:dyDescent="0.3">
      <c r="A1410" s="20"/>
      <c r="E1410" s="20"/>
    </row>
    <row r="1411" spans="1:5" x14ac:dyDescent="0.3">
      <c r="A1411" s="20"/>
      <c r="E1411" s="20"/>
    </row>
    <row r="1412" spans="1:5" x14ac:dyDescent="0.3">
      <c r="A1412" s="20"/>
      <c r="E1412" s="20"/>
    </row>
    <row r="1413" spans="1:5" x14ac:dyDescent="0.3">
      <c r="A1413" s="20"/>
      <c r="E1413" s="20"/>
    </row>
    <row r="1414" spans="1:5" x14ac:dyDescent="0.3">
      <c r="A1414" s="20"/>
      <c r="E1414" s="20"/>
    </row>
    <row r="1415" spans="1:5" x14ac:dyDescent="0.3">
      <c r="A1415" s="20"/>
      <c r="E1415" s="20"/>
    </row>
    <row r="1416" spans="1:5" x14ac:dyDescent="0.3">
      <c r="A1416" s="20"/>
      <c r="E1416" s="20"/>
    </row>
    <row r="1417" spans="1:5" x14ac:dyDescent="0.3">
      <c r="A1417" s="20"/>
      <c r="E1417" s="20"/>
    </row>
    <row r="1418" spans="1:5" x14ac:dyDescent="0.3">
      <c r="A1418" s="20"/>
      <c r="E1418" s="20"/>
    </row>
    <row r="1419" spans="1:5" x14ac:dyDescent="0.3">
      <c r="A1419" s="20"/>
      <c r="E1419" s="20"/>
    </row>
    <row r="1420" spans="1:5" x14ac:dyDescent="0.3">
      <c r="A1420" s="20"/>
      <c r="E1420" s="20"/>
    </row>
    <row r="1421" spans="1:5" x14ac:dyDescent="0.3">
      <c r="A1421" s="20"/>
      <c r="E1421" s="20"/>
    </row>
    <row r="1422" spans="1:5" x14ac:dyDescent="0.3">
      <c r="A1422" s="20"/>
      <c r="E1422" s="20"/>
    </row>
    <row r="1423" spans="1:5" x14ac:dyDescent="0.3">
      <c r="A1423" s="20"/>
      <c r="E1423" s="20"/>
    </row>
    <row r="1424" spans="1:5" x14ac:dyDescent="0.3">
      <c r="A1424" s="20"/>
      <c r="E1424" s="20"/>
    </row>
    <row r="1425" spans="1:5" x14ac:dyDescent="0.3">
      <c r="A1425" s="20"/>
      <c r="E1425" s="20"/>
    </row>
    <row r="1426" spans="1:5" x14ac:dyDescent="0.3">
      <c r="A1426" s="20"/>
      <c r="E1426" s="20"/>
    </row>
    <row r="1427" spans="1:5" x14ac:dyDescent="0.3">
      <c r="A1427" s="20"/>
      <c r="E1427" s="20"/>
    </row>
    <row r="1428" spans="1:5" x14ac:dyDescent="0.3">
      <c r="A1428" s="20"/>
      <c r="E1428" s="20"/>
    </row>
    <row r="1429" spans="1:5" x14ac:dyDescent="0.3">
      <c r="A1429" s="20"/>
      <c r="E1429" s="20"/>
    </row>
    <row r="1430" spans="1:5" x14ac:dyDescent="0.3">
      <c r="A1430" s="20"/>
      <c r="E1430" s="20"/>
    </row>
    <row r="1431" spans="1:5" x14ac:dyDescent="0.3">
      <c r="A1431" s="20"/>
      <c r="E1431" s="20"/>
    </row>
    <row r="1432" spans="1:5" x14ac:dyDescent="0.3">
      <c r="A1432" s="20"/>
      <c r="E1432" s="20"/>
    </row>
    <row r="1433" spans="1:5" x14ac:dyDescent="0.3">
      <c r="A1433" s="20"/>
      <c r="E1433" s="20"/>
    </row>
    <row r="1434" spans="1:5" x14ac:dyDescent="0.3">
      <c r="A1434" s="20"/>
      <c r="E1434" s="20"/>
    </row>
    <row r="1435" spans="1:5" x14ac:dyDescent="0.3">
      <c r="A1435" s="20"/>
      <c r="E1435" s="20"/>
    </row>
    <row r="1436" spans="1:5" x14ac:dyDescent="0.3">
      <c r="A1436" s="20"/>
      <c r="E1436" s="20"/>
    </row>
    <row r="1437" spans="1:5" x14ac:dyDescent="0.3">
      <c r="A1437" s="20"/>
      <c r="E1437" s="20"/>
    </row>
    <row r="1438" spans="1:5" x14ac:dyDescent="0.3">
      <c r="A1438" s="20"/>
      <c r="E1438" s="20"/>
    </row>
    <row r="1439" spans="1:5" x14ac:dyDescent="0.3">
      <c r="A1439" s="20"/>
      <c r="E1439" s="20"/>
    </row>
    <row r="1440" spans="1:5" x14ac:dyDescent="0.3">
      <c r="A1440" s="20"/>
      <c r="E1440" s="20"/>
    </row>
    <row r="1441" spans="1:5" x14ac:dyDescent="0.3">
      <c r="A1441" s="20"/>
      <c r="E1441" s="20"/>
    </row>
    <row r="1442" spans="1:5" x14ac:dyDescent="0.3">
      <c r="A1442" s="20"/>
      <c r="E1442" s="20"/>
    </row>
    <row r="1443" spans="1:5" x14ac:dyDescent="0.3">
      <c r="A1443" s="20"/>
      <c r="E1443" s="20"/>
    </row>
    <row r="1444" spans="1:5" x14ac:dyDescent="0.3">
      <c r="A1444" s="20"/>
      <c r="E1444" s="20"/>
    </row>
    <row r="1445" spans="1:5" x14ac:dyDescent="0.3">
      <c r="A1445" s="20"/>
      <c r="E1445" s="20"/>
    </row>
    <row r="1446" spans="1:5" x14ac:dyDescent="0.3">
      <c r="A1446" s="20"/>
      <c r="E1446" s="20"/>
    </row>
    <row r="1447" spans="1:5" x14ac:dyDescent="0.3">
      <c r="A1447" s="20"/>
      <c r="E1447" s="20"/>
    </row>
    <row r="1448" spans="1:5" x14ac:dyDescent="0.3">
      <c r="A1448" s="20"/>
      <c r="E1448" s="20"/>
    </row>
    <row r="1449" spans="1:5" x14ac:dyDescent="0.3">
      <c r="A1449" s="20"/>
      <c r="E1449" s="20"/>
    </row>
    <row r="1450" spans="1:5" x14ac:dyDescent="0.3">
      <c r="A1450" s="20"/>
      <c r="E1450" s="20"/>
    </row>
    <row r="1451" spans="1:5" x14ac:dyDescent="0.3">
      <c r="A1451" s="20"/>
      <c r="E1451" s="20"/>
    </row>
    <row r="1452" spans="1:5" x14ac:dyDescent="0.3">
      <c r="A1452" s="20"/>
      <c r="E1452" s="20"/>
    </row>
    <row r="1453" spans="1:5" x14ac:dyDescent="0.3">
      <c r="A1453" s="20"/>
      <c r="E1453" s="20"/>
    </row>
    <row r="1454" spans="1:5" x14ac:dyDescent="0.3">
      <c r="A1454" s="20"/>
      <c r="E1454" s="20"/>
    </row>
    <row r="1455" spans="1:5" x14ac:dyDescent="0.3">
      <c r="A1455" s="20"/>
      <c r="E1455" s="20"/>
    </row>
    <row r="1456" spans="1:5" x14ac:dyDescent="0.3">
      <c r="A1456" s="20"/>
      <c r="E1456" s="20"/>
    </row>
    <row r="1457" spans="1:5" x14ac:dyDescent="0.3">
      <c r="A1457" s="20"/>
      <c r="E1457" s="20"/>
    </row>
    <row r="1458" spans="1:5" x14ac:dyDescent="0.3">
      <c r="A1458" s="20"/>
      <c r="E1458" s="20"/>
    </row>
    <row r="1459" spans="1:5" x14ac:dyDescent="0.3">
      <c r="A1459" s="20"/>
      <c r="E1459" s="20"/>
    </row>
    <row r="1460" spans="1:5" x14ac:dyDescent="0.3">
      <c r="A1460" s="20"/>
      <c r="E1460" s="20"/>
    </row>
    <row r="1461" spans="1:5" x14ac:dyDescent="0.3">
      <c r="A1461" s="20"/>
      <c r="E1461" s="20"/>
    </row>
    <row r="1462" spans="1:5" x14ac:dyDescent="0.3">
      <c r="A1462" s="20"/>
      <c r="E1462" s="20"/>
    </row>
    <row r="1463" spans="1:5" x14ac:dyDescent="0.3">
      <c r="A1463" s="20"/>
      <c r="E1463" s="20"/>
    </row>
    <row r="1464" spans="1:5" x14ac:dyDescent="0.3">
      <c r="A1464" s="20"/>
      <c r="E1464" s="20"/>
    </row>
    <row r="1465" spans="1:5" x14ac:dyDescent="0.3">
      <c r="A1465" s="20"/>
      <c r="E1465" s="20"/>
    </row>
    <row r="1466" spans="1:5" x14ac:dyDescent="0.3">
      <c r="A1466" s="20"/>
      <c r="E1466" s="20"/>
    </row>
    <row r="1467" spans="1:5" x14ac:dyDescent="0.3">
      <c r="A1467" s="20"/>
      <c r="E1467" s="20"/>
    </row>
    <row r="1468" spans="1:5" x14ac:dyDescent="0.3">
      <c r="A1468" s="20"/>
      <c r="E1468" s="20"/>
    </row>
    <row r="1469" spans="1:5" x14ac:dyDescent="0.3">
      <c r="A1469" s="20"/>
      <c r="E1469" s="20"/>
    </row>
    <row r="1470" spans="1:5" x14ac:dyDescent="0.3">
      <c r="A1470" s="20"/>
      <c r="E1470" s="20"/>
    </row>
    <row r="1471" spans="1:5" x14ac:dyDescent="0.3">
      <c r="A1471" s="20"/>
      <c r="E1471" s="20"/>
    </row>
    <row r="1472" spans="1:5" x14ac:dyDescent="0.3">
      <c r="A1472" s="20"/>
      <c r="E1472" s="20"/>
    </row>
    <row r="1473" spans="1:5" x14ac:dyDescent="0.3">
      <c r="A1473" s="20"/>
      <c r="E1473" s="20"/>
    </row>
    <row r="1474" spans="1:5" x14ac:dyDescent="0.3">
      <c r="A1474" s="20"/>
      <c r="E1474" s="20"/>
    </row>
    <row r="1475" spans="1:5" x14ac:dyDescent="0.3">
      <c r="A1475" s="20"/>
      <c r="E1475" s="20"/>
    </row>
    <row r="1476" spans="1:5" x14ac:dyDescent="0.3">
      <c r="A1476" s="20"/>
      <c r="E1476" s="20"/>
    </row>
    <row r="1477" spans="1:5" x14ac:dyDescent="0.3">
      <c r="A1477" s="20"/>
      <c r="E1477" s="20"/>
    </row>
    <row r="1478" spans="1:5" x14ac:dyDescent="0.3">
      <c r="A1478" s="20"/>
      <c r="E1478" s="20"/>
    </row>
    <row r="1479" spans="1:5" x14ac:dyDescent="0.3">
      <c r="A1479" s="20"/>
      <c r="E1479" s="20"/>
    </row>
    <row r="1480" spans="1:5" x14ac:dyDescent="0.3">
      <c r="A1480" s="20"/>
      <c r="E1480" s="20"/>
    </row>
    <row r="1481" spans="1:5" x14ac:dyDescent="0.3">
      <c r="A1481" s="20"/>
      <c r="E1481" s="20"/>
    </row>
    <row r="1482" spans="1:5" x14ac:dyDescent="0.3">
      <c r="A1482" s="20"/>
      <c r="E1482" s="20"/>
    </row>
    <row r="1483" spans="1:5" x14ac:dyDescent="0.3">
      <c r="A1483" s="20"/>
      <c r="E1483" s="20"/>
    </row>
    <row r="1484" spans="1:5" x14ac:dyDescent="0.3">
      <c r="A1484" s="20"/>
      <c r="E1484" s="20"/>
    </row>
    <row r="1485" spans="1:5" x14ac:dyDescent="0.3">
      <c r="A1485" s="20"/>
      <c r="E1485" s="20"/>
    </row>
    <row r="1486" spans="1:5" x14ac:dyDescent="0.3">
      <c r="A1486" s="20"/>
      <c r="E1486" s="20"/>
    </row>
    <row r="1487" spans="1:5" x14ac:dyDescent="0.3">
      <c r="A1487" s="20"/>
      <c r="E1487" s="20"/>
    </row>
    <row r="1488" spans="1:5" x14ac:dyDescent="0.3">
      <c r="A1488" s="20"/>
      <c r="E1488" s="20"/>
    </row>
    <row r="1489" spans="1:5" x14ac:dyDescent="0.3">
      <c r="A1489" s="20"/>
      <c r="E1489" s="20"/>
    </row>
    <row r="1490" spans="1:5" x14ac:dyDescent="0.3">
      <c r="A1490" s="20"/>
      <c r="E1490" s="20"/>
    </row>
    <row r="1491" spans="1:5" x14ac:dyDescent="0.3">
      <c r="A1491" s="20"/>
      <c r="E1491" s="20"/>
    </row>
    <row r="1492" spans="1:5" x14ac:dyDescent="0.3">
      <c r="A1492" s="20"/>
      <c r="E1492" s="20"/>
    </row>
    <row r="1493" spans="1:5" x14ac:dyDescent="0.3">
      <c r="A1493" s="20"/>
      <c r="E1493" s="20"/>
    </row>
    <row r="1494" spans="1:5" x14ac:dyDescent="0.3">
      <c r="A1494" s="20"/>
      <c r="E1494" s="20"/>
    </row>
    <row r="1495" spans="1:5" x14ac:dyDescent="0.3">
      <c r="A1495" s="20"/>
      <c r="E1495" s="20"/>
    </row>
    <row r="1496" spans="1:5" x14ac:dyDescent="0.3">
      <c r="A1496" s="20"/>
      <c r="E1496" s="20"/>
    </row>
    <row r="1497" spans="1:5" x14ac:dyDescent="0.3">
      <c r="A1497" s="20"/>
      <c r="E1497" s="20"/>
    </row>
    <row r="1498" spans="1:5" x14ac:dyDescent="0.3">
      <c r="A1498" s="20"/>
      <c r="E1498" s="20"/>
    </row>
    <row r="1499" spans="1:5" x14ac:dyDescent="0.3">
      <c r="A1499" s="20"/>
      <c r="E1499" s="20"/>
    </row>
    <row r="1500" spans="1:5" x14ac:dyDescent="0.3">
      <c r="A1500" s="20"/>
      <c r="E1500" s="20"/>
    </row>
    <row r="1501" spans="1:5" x14ac:dyDescent="0.3">
      <c r="A1501" s="20"/>
      <c r="E1501" s="20"/>
    </row>
    <row r="1502" spans="1:5" x14ac:dyDescent="0.3">
      <c r="A1502" s="20"/>
      <c r="E1502" s="20"/>
    </row>
    <row r="1503" spans="1:5" x14ac:dyDescent="0.3">
      <c r="A1503" s="20"/>
      <c r="E1503" s="20"/>
    </row>
    <row r="1504" spans="1:5" x14ac:dyDescent="0.3">
      <c r="A1504" s="20"/>
      <c r="E1504" s="20"/>
    </row>
    <row r="1505" spans="1:5" x14ac:dyDescent="0.3">
      <c r="A1505" s="20"/>
      <c r="E1505" s="20"/>
    </row>
    <row r="1506" spans="1:5" x14ac:dyDescent="0.3">
      <c r="A1506" s="20"/>
      <c r="E1506" s="20"/>
    </row>
    <row r="1507" spans="1:5" x14ac:dyDescent="0.3">
      <c r="A1507" s="20"/>
      <c r="E1507" s="20"/>
    </row>
    <row r="1508" spans="1:5" x14ac:dyDescent="0.3">
      <c r="A1508" s="20"/>
      <c r="E1508" s="20"/>
    </row>
    <row r="1509" spans="1:5" x14ac:dyDescent="0.3">
      <c r="A1509" s="20"/>
      <c r="E1509" s="20"/>
    </row>
    <row r="1510" spans="1:5" x14ac:dyDescent="0.3">
      <c r="A1510" s="20"/>
      <c r="E1510" s="20"/>
    </row>
    <row r="1511" spans="1:5" x14ac:dyDescent="0.3">
      <c r="A1511" s="20"/>
      <c r="E1511" s="20"/>
    </row>
    <row r="1512" spans="1:5" x14ac:dyDescent="0.3">
      <c r="A1512" s="20"/>
      <c r="E1512" s="20"/>
    </row>
    <row r="1513" spans="1:5" x14ac:dyDescent="0.3">
      <c r="A1513" s="20"/>
      <c r="E1513" s="20"/>
    </row>
    <row r="1514" spans="1:5" x14ac:dyDescent="0.3">
      <c r="A1514" s="20"/>
      <c r="E1514" s="20"/>
    </row>
    <row r="1515" spans="1:5" x14ac:dyDescent="0.3">
      <c r="A1515" s="20"/>
      <c r="E1515" s="20"/>
    </row>
    <row r="1516" spans="1:5" x14ac:dyDescent="0.3">
      <c r="A1516" s="20"/>
      <c r="E1516" s="20"/>
    </row>
    <row r="1517" spans="1:5" x14ac:dyDescent="0.3">
      <c r="A1517" s="20"/>
      <c r="E1517" s="20"/>
    </row>
    <row r="1518" spans="1:5" x14ac:dyDescent="0.3">
      <c r="A1518" s="20"/>
      <c r="E1518" s="20"/>
    </row>
    <row r="1519" spans="1:5" x14ac:dyDescent="0.3">
      <c r="A1519" s="20"/>
      <c r="E1519" s="20"/>
    </row>
    <row r="1520" spans="1:5" x14ac:dyDescent="0.3">
      <c r="A1520" s="20"/>
      <c r="E1520" s="20"/>
    </row>
    <row r="1521" spans="1:5" x14ac:dyDescent="0.3">
      <c r="A1521" s="20"/>
      <c r="E1521" s="20"/>
    </row>
    <row r="1522" spans="1:5" x14ac:dyDescent="0.3">
      <c r="A1522" s="20"/>
      <c r="E1522" s="20"/>
    </row>
    <row r="1523" spans="1:5" x14ac:dyDescent="0.3">
      <c r="A1523" s="20"/>
      <c r="E1523" s="20"/>
    </row>
    <row r="1524" spans="1:5" x14ac:dyDescent="0.3">
      <c r="A1524" s="20"/>
      <c r="E1524" s="20"/>
    </row>
    <row r="1525" spans="1:5" x14ac:dyDescent="0.3">
      <c r="A1525" s="20"/>
      <c r="E1525" s="20"/>
    </row>
    <row r="1526" spans="1:5" x14ac:dyDescent="0.3">
      <c r="A1526" s="20"/>
      <c r="E1526" s="20"/>
    </row>
    <row r="1527" spans="1:5" x14ac:dyDescent="0.3">
      <c r="A1527" s="20"/>
      <c r="E1527" s="20"/>
    </row>
    <row r="1528" spans="1:5" x14ac:dyDescent="0.3">
      <c r="A1528" s="20"/>
      <c r="E1528" s="20"/>
    </row>
    <row r="1529" spans="1:5" x14ac:dyDescent="0.3">
      <c r="A1529" s="20"/>
      <c r="E1529" s="20"/>
    </row>
    <row r="1530" spans="1:5" x14ac:dyDescent="0.3">
      <c r="A1530" s="20"/>
      <c r="E1530" s="20"/>
    </row>
    <row r="1531" spans="1:5" x14ac:dyDescent="0.3">
      <c r="A1531" s="20"/>
      <c r="E1531" s="20"/>
    </row>
    <row r="1532" spans="1:5" x14ac:dyDescent="0.3">
      <c r="A1532" s="20"/>
      <c r="E1532" s="20"/>
    </row>
    <row r="1533" spans="1:5" x14ac:dyDescent="0.3">
      <c r="A1533" s="20"/>
      <c r="E1533" s="20"/>
    </row>
    <row r="1534" spans="1:5" x14ac:dyDescent="0.3">
      <c r="A1534" s="20"/>
      <c r="E1534" s="20"/>
    </row>
    <row r="1535" spans="1:5" x14ac:dyDescent="0.3">
      <c r="A1535" s="20"/>
      <c r="E1535" s="20"/>
    </row>
    <row r="1536" spans="1:5" x14ac:dyDescent="0.3">
      <c r="A1536" s="20"/>
      <c r="E1536" s="20"/>
    </row>
    <row r="1537" spans="1:5" x14ac:dyDescent="0.3">
      <c r="A1537" s="20"/>
      <c r="E1537" s="20"/>
    </row>
    <row r="1538" spans="1:5" x14ac:dyDescent="0.3">
      <c r="A1538" s="20"/>
      <c r="E1538" s="20"/>
    </row>
    <row r="1539" spans="1:5" x14ac:dyDescent="0.3">
      <c r="A1539" s="20"/>
      <c r="E1539" s="20"/>
    </row>
    <row r="1540" spans="1:5" x14ac:dyDescent="0.3">
      <c r="A1540" s="20"/>
      <c r="E1540" s="20"/>
    </row>
    <row r="1541" spans="1:5" x14ac:dyDescent="0.3">
      <c r="A1541" s="20"/>
      <c r="E1541" s="20"/>
    </row>
    <row r="1542" spans="1:5" x14ac:dyDescent="0.3">
      <c r="A1542" s="20"/>
      <c r="E1542" s="20"/>
    </row>
    <row r="1543" spans="1:5" x14ac:dyDescent="0.3">
      <c r="A1543" s="20"/>
      <c r="E1543" s="20"/>
    </row>
    <row r="1544" spans="1:5" x14ac:dyDescent="0.3">
      <c r="A1544" s="20"/>
      <c r="E1544" s="20"/>
    </row>
    <row r="1545" spans="1:5" x14ac:dyDescent="0.3">
      <c r="A1545" s="20"/>
      <c r="E1545" s="20"/>
    </row>
    <row r="1546" spans="1:5" x14ac:dyDescent="0.3">
      <c r="A1546" s="20"/>
      <c r="E1546" s="20"/>
    </row>
    <row r="1547" spans="1:5" x14ac:dyDescent="0.3">
      <c r="A1547" s="20"/>
      <c r="E1547" s="20"/>
    </row>
    <row r="1548" spans="1:5" x14ac:dyDescent="0.3">
      <c r="A1548" s="20"/>
      <c r="E1548" s="20"/>
    </row>
    <row r="1549" spans="1:5" x14ac:dyDescent="0.3">
      <c r="A1549" s="20"/>
      <c r="E1549" s="20"/>
    </row>
    <row r="1550" spans="1:5" x14ac:dyDescent="0.3">
      <c r="A1550" s="20"/>
      <c r="E1550" s="20"/>
    </row>
    <row r="1551" spans="1:5" x14ac:dyDescent="0.3">
      <c r="A1551" s="20"/>
      <c r="E1551" s="20"/>
    </row>
    <row r="1552" spans="1:5" x14ac:dyDescent="0.3">
      <c r="A1552" s="20"/>
      <c r="E1552" s="20"/>
    </row>
    <row r="1553" spans="1:5" x14ac:dyDescent="0.3">
      <c r="A1553" s="20"/>
      <c r="E1553" s="20"/>
    </row>
    <row r="1554" spans="1:5" x14ac:dyDescent="0.3">
      <c r="A1554" s="20"/>
      <c r="E1554" s="20"/>
    </row>
    <row r="1555" spans="1:5" x14ac:dyDescent="0.3">
      <c r="A1555" s="20"/>
      <c r="E1555" s="20"/>
    </row>
    <row r="1556" spans="1:5" x14ac:dyDescent="0.3">
      <c r="A1556" s="20"/>
      <c r="E1556" s="20"/>
    </row>
    <row r="1557" spans="1:5" x14ac:dyDescent="0.3">
      <c r="A1557" s="20"/>
      <c r="E1557" s="20"/>
    </row>
    <row r="1558" spans="1:5" x14ac:dyDescent="0.3">
      <c r="A1558" s="20"/>
      <c r="E1558" s="20"/>
    </row>
    <row r="1559" spans="1:5" x14ac:dyDescent="0.3">
      <c r="A1559" s="20"/>
      <c r="E1559" s="20"/>
    </row>
    <row r="1560" spans="1:5" x14ac:dyDescent="0.3">
      <c r="A1560" s="20"/>
      <c r="E1560" s="20"/>
    </row>
    <row r="1561" spans="1:5" x14ac:dyDescent="0.3">
      <c r="A1561" s="20"/>
      <c r="E1561" s="20"/>
    </row>
    <row r="1562" spans="1:5" x14ac:dyDescent="0.3">
      <c r="A1562" s="20"/>
      <c r="E1562" s="20"/>
    </row>
    <row r="1563" spans="1:5" x14ac:dyDescent="0.3">
      <c r="A1563" s="20"/>
      <c r="E1563" s="20"/>
    </row>
    <row r="1564" spans="1:5" x14ac:dyDescent="0.3">
      <c r="A1564" s="20"/>
      <c r="E1564" s="20"/>
    </row>
    <row r="1565" spans="1:5" x14ac:dyDescent="0.3">
      <c r="A1565" s="20"/>
      <c r="E1565" s="20"/>
    </row>
    <row r="1566" spans="1:5" x14ac:dyDescent="0.3">
      <c r="A1566" s="20"/>
      <c r="E1566" s="20"/>
    </row>
    <row r="1567" spans="1:5" x14ac:dyDescent="0.3">
      <c r="A1567" s="20"/>
      <c r="E1567" s="20"/>
    </row>
    <row r="1568" spans="1:5" x14ac:dyDescent="0.3">
      <c r="A1568" s="20"/>
      <c r="E1568" s="20"/>
    </row>
    <row r="1569" spans="1:5" x14ac:dyDescent="0.3">
      <c r="A1569" s="20"/>
      <c r="E1569" s="20"/>
    </row>
    <row r="1570" spans="1:5" x14ac:dyDescent="0.3">
      <c r="A1570" s="20"/>
      <c r="E1570" s="20"/>
    </row>
    <row r="1571" spans="1:5" x14ac:dyDescent="0.3">
      <c r="A1571" s="20"/>
      <c r="E1571" s="20"/>
    </row>
    <row r="1572" spans="1:5" x14ac:dyDescent="0.3">
      <c r="A1572" s="20"/>
      <c r="E1572" s="20"/>
    </row>
    <row r="1573" spans="1:5" x14ac:dyDescent="0.3">
      <c r="A1573" s="20"/>
      <c r="E1573" s="20"/>
    </row>
    <row r="1574" spans="1:5" x14ac:dyDescent="0.3">
      <c r="A1574" s="20"/>
      <c r="E1574" s="20"/>
    </row>
    <row r="1575" spans="1:5" x14ac:dyDescent="0.3">
      <c r="A1575" s="20"/>
      <c r="E1575" s="20"/>
    </row>
    <row r="1576" spans="1:5" x14ac:dyDescent="0.3">
      <c r="A1576" s="20"/>
      <c r="E1576" s="20"/>
    </row>
    <row r="1577" spans="1:5" x14ac:dyDescent="0.3">
      <c r="A1577" s="20"/>
      <c r="E1577" s="20"/>
    </row>
    <row r="1578" spans="1:5" x14ac:dyDescent="0.3">
      <c r="A1578" s="20"/>
      <c r="E1578" s="20"/>
    </row>
    <row r="1579" spans="1:5" x14ac:dyDescent="0.3">
      <c r="A1579" s="20"/>
      <c r="E1579" s="20"/>
    </row>
    <row r="1580" spans="1:5" x14ac:dyDescent="0.3">
      <c r="A1580" s="20"/>
      <c r="E1580" s="20"/>
    </row>
    <row r="1581" spans="1:5" x14ac:dyDescent="0.3">
      <c r="A1581" s="20"/>
      <c r="E1581" s="20"/>
    </row>
    <row r="1582" spans="1:5" x14ac:dyDescent="0.3">
      <c r="A1582" s="20"/>
      <c r="E1582" s="20"/>
    </row>
    <row r="1583" spans="1:5" x14ac:dyDescent="0.3">
      <c r="A1583" s="20"/>
      <c r="E1583" s="20"/>
    </row>
    <row r="1584" spans="1:5" x14ac:dyDescent="0.3">
      <c r="A1584" s="20"/>
      <c r="E1584" s="20"/>
    </row>
    <row r="1585" spans="1:5" x14ac:dyDescent="0.3">
      <c r="A1585" s="20"/>
      <c r="E1585" s="20"/>
    </row>
    <row r="1586" spans="1:5" x14ac:dyDescent="0.3">
      <c r="A1586" s="20"/>
      <c r="E1586" s="20"/>
    </row>
    <row r="1587" spans="1:5" x14ac:dyDescent="0.3">
      <c r="A1587" s="20"/>
      <c r="E1587" s="20"/>
    </row>
    <row r="1588" spans="1:5" x14ac:dyDescent="0.3">
      <c r="A1588" s="20"/>
      <c r="E1588" s="20"/>
    </row>
    <row r="1589" spans="1:5" x14ac:dyDescent="0.3">
      <c r="A1589" s="20"/>
      <c r="E1589" s="20"/>
    </row>
    <row r="1590" spans="1:5" x14ac:dyDescent="0.3">
      <c r="A1590" s="20"/>
      <c r="E1590" s="20"/>
    </row>
    <row r="1591" spans="1:5" x14ac:dyDescent="0.3">
      <c r="A1591" s="20"/>
      <c r="E1591" s="20"/>
    </row>
    <row r="1592" spans="1:5" x14ac:dyDescent="0.3">
      <c r="A1592" s="20"/>
      <c r="E1592" s="20"/>
    </row>
    <row r="1593" spans="1:5" x14ac:dyDescent="0.3">
      <c r="A1593" s="20"/>
      <c r="E1593" s="20"/>
    </row>
    <row r="1594" spans="1:5" x14ac:dyDescent="0.3">
      <c r="A1594" s="20"/>
      <c r="E1594" s="20"/>
    </row>
    <row r="1595" spans="1:5" x14ac:dyDescent="0.3">
      <c r="A1595" s="20"/>
      <c r="E1595" s="20"/>
    </row>
    <row r="1596" spans="1:5" x14ac:dyDescent="0.3">
      <c r="A1596" s="20"/>
      <c r="E1596" s="20"/>
    </row>
    <row r="1597" spans="1:5" x14ac:dyDescent="0.3">
      <c r="A1597" s="20"/>
      <c r="E1597" s="20"/>
    </row>
    <row r="1598" spans="1:5" x14ac:dyDescent="0.3">
      <c r="A1598" s="20"/>
      <c r="E1598" s="20"/>
    </row>
    <row r="1599" spans="1:5" x14ac:dyDescent="0.3">
      <c r="A1599" s="20"/>
      <c r="E1599" s="20"/>
    </row>
    <row r="1600" spans="1:5" x14ac:dyDescent="0.3">
      <c r="A1600" s="20"/>
      <c r="E1600" s="20"/>
    </row>
    <row r="1601" spans="1:5" x14ac:dyDescent="0.3">
      <c r="A1601" s="20"/>
      <c r="E1601" s="20"/>
    </row>
    <row r="1602" spans="1:5" x14ac:dyDescent="0.3">
      <c r="A1602" s="20"/>
      <c r="E1602" s="20"/>
    </row>
    <row r="1603" spans="1:5" x14ac:dyDescent="0.3">
      <c r="A1603" s="20"/>
      <c r="E1603" s="20"/>
    </row>
    <row r="1604" spans="1:5" x14ac:dyDescent="0.3">
      <c r="A1604" s="20"/>
      <c r="E1604" s="20"/>
    </row>
    <row r="1605" spans="1:5" x14ac:dyDescent="0.3">
      <c r="A1605" s="20"/>
      <c r="E1605" s="20"/>
    </row>
    <row r="1606" spans="1:5" x14ac:dyDescent="0.3">
      <c r="A1606" s="20"/>
      <c r="E1606" s="20"/>
    </row>
    <row r="1607" spans="1:5" x14ac:dyDescent="0.3">
      <c r="A1607" s="20"/>
      <c r="E1607" s="20"/>
    </row>
    <row r="1608" spans="1:5" x14ac:dyDescent="0.3">
      <c r="A1608" s="20"/>
      <c r="E1608" s="20"/>
    </row>
    <row r="1609" spans="1:5" x14ac:dyDescent="0.3">
      <c r="A1609" s="20"/>
      <c r="E1609" s="20"/>
    </row>
    <row r="1610" spans="1:5" x14ac:dyDescent="0.3">
      <c r="A1610" s="20"/>
      <c r="E1610" s="20"/>
    </row>
    <row r="1611" spans="1:5" x14ac:dyDescent="0.3">
      <c r="A1611" s="20"/>
      <c r="E1611" s="20"/>
    </row>
    <row r="1612" spans="1:5" x14ac:dyDescent="0.3">
      <c r="A1612" s="20"/>
      <c r="E1612" s="20"/>
    </row>
    <row r="1613" spans="1:5" x14ac:dyDescent="0.3">
      <c r="A1613" s="20"/>
      <c r="E1613" s="20"/>
    </row>
    <row r="1614" spans="1:5" x14ac:dyDescent="0.3">
      <c r="A1614" s="20"/>
      <c r="E1614" s="20"/>
    </row>
    <row r="1615" spans="1:5" x14ac:dyDescent="0.3">
      <c r="A1615" s="20"/>
      <c r="E1615" s="20"/>
    </row>
    <row r="1616" spans="1:5" x14ac:dyDescent="0.3">
      <c r="A1616" s="20"/>
      <c r="E1616" s="20"/>
    </row>
    <row r="1617" spans="1:5" x14ac:dyDescent="0.3">
      <c r="A1617" s="20"/>
      <c r="E1617" s="20"/>
    </row>
    <row r="1618" spans="1:5" x14ac:dyDescent="0.3">
      <c r="A1618" s="20"/>
      <c r="E1618" s="20"/>
    </row>
    <row r="1619" spans="1:5" x14ac:dyDescent="0.3">
      <c r="A1619" s="20"/>
      <c r="E1619" s="20"/>
    </row>
    <row r="1620" spans="1:5" x14ac:dyDescent="0.3">
      <c r="A1620" s="20"/>
      <c r="E1620" s="20"/>
    </row>
    <row r="1621" spans="1:5" x14ac:dyDescent="0.3">
      <c r="A1621" s="20"/>
      <c r="E1621" s="20"/>
    </row>
    <row r="1622" spans="1:5" x14ac:dyDescent="0.3">
      <c r="A1622" s="20"/>
      <c r="E1622" s="20"/>
    </row>
    <row r="1623" spans="1:5" x14ac:dyDescent="0.3">
      <c r="A1623" s="20"/>
      <c r="E1623" s="20"/>
    </row>
    <row r="1624" spans="1:5" x14ac:dyDescent="0.3">
      <c r="A1624" s="20"/>
      <c r="E1624" s="20"/>
    </row>
    <row r="1625" spans="1:5" x14ac:dyDescent="0.3">
      <c r="A1625" s="20"/>
      <c r="E1625" s="20"/>
    </row>
    <row r="1626" spans="1:5" x14ac:dyDescent="0.3">
      <c r="A1626" s="20"/>
      <c r="E1626" s="20"/>
    </row>
    <row r="1627" spans="1:5" x14ac:dyDescent="0.3">
      <c r="A1627" s="20"/>
      <c r="E1627" s="20"/>
    </row>
    <row r="1628" spans="1:5" x14ac:dyDescent="0.3">
      <c r="A1628" s="20"/>
      <c r="E1628" s="20"/>
    </row>
    <row r="1629" spans="1:5" x14ac:dyDescent="0.3">
      <c r="A1629" s="20"/>
      <c r="E1629" s="20"/>
    </row>
    <row r="1630" spans="1:5" x14ac:dyDescent="0.3">
      <c r="A1630" s="20"/>
      <c r="E1630" s="20"/>
    </row>
    <row r="1631" spans="1:5" x14ac:dyDescent="0.3">
      <c r="A1631" s="20"/>
      <c r="E1631" s="20"/>
    </row>
    <row r="1632" spans="1:5" x14ac:dyDescent="0.3">
      <c r="A1632" s="20"/>
      <c r="E1632" s="20"/>
    </row>
    <row r="1633" spans="1:5" x14ac:dyDescent="0.3">
      <c r="A1633" s="20"/>
      <c r="E1633" s="20"/>
    </row>
    <row r="1634" spans="1:5" x14ac:dyDescent="0.3">
      <c r="A1634" s="20"/>
      <c r="E1634" s="20"/>
    </row>
    <row r="1635" spans="1:5" x14ac:dyDescent="0.3">
      <c r="A1635" s="20"/>
      <c r="E1635" s="20"/>
    </row>
    <row r="1636" spans="1:5" x14ac:dyDescent="0.3">
      <c r="A1636" s="20"/>
      <c r="E1636" s="20"/>
    </row>
    <row r="1637" spans="1:5" x14ac:dyDescent="0.3">
      <c r="A1637" s="20"/>
      <c r="E1637" s="20"/>
    </row>
    <row r="1638" spans="1:5" x14ac:dyDescent="0.3">
      <c r="A1638" s="20"/>
      <c r="E1638" s="20"/>
    </row>
    <row r="1639" spans="1:5" x14ac:dyDescent="0.3">
      <c r="A1639" s="20"/>
      <c r="E1639" s="20"/>
    </row>
    <row r="1640" spans="1:5" x14ac:dyDescent="0.3">
      <c r="A1640" s="20"/>
      <c r="E1640" s="20"/>
    </row>
    <row r="1641" spans="1:5" x14ac:dyDescent="0.3">
      <c r="A1641" s="20"/>
      <c r="E1641" s="20"/>
    </row>
    <row r="1642" spans="1:5" x14ac:dyDescent="0.3">
      <c r="A1642" s="20"/>
      <c r="E1642" s="20"/>
    </row>
    <row r="1643" spans="1:5" x14ac:dyDescent="0.3">
      <c r="A1643" s="20"/>
      <c r="E1643" s="20"/>
    </row>
    <row r="1644" spans="1:5" x14ac:dyDescent="0.3">
      <c r="A1644" s="20"/>
      <c r="E1644" s="20"/>
    </row>
    <row r="1645" spans="1:5" x14ac:dyDescent="0.3">
      <c r="A1645" s="20"/>
      <c r="E1645" s="20"/>
    </row>
    <row r="1646" spans="1:5" x14ac:dyDescent="0.3">
      <c r="A1646" s="20"/>
      <c r="E1646" s="20"/>
    </row>
    <row r="1647" spans="1:5" x14ac:dyDescent="0.3">
      <c r="A1647" s="20"/>
      <c r="E1647" s="20"/>
    </row>
    <row r="1648" spans="1:5" x14ac:dyDescent="0.3">
      <c r="A1648" s="20"/>
      <c r="E1648" s="20"/>
    </row>
    <row r="1649" spans="1:5" x14ac:dyDescent="0.3">
      <c r="A1649" s="20"/>
      <c r="E1649" s="20"/>
    </row>
    <row r="1650" spans="1:5" x14ac:dyDescent="0.3">
      <c r="A1650" s="20"/>
      <c r="E1650" s="20"/>
    </row>
    <row r="1651" spans="1:5" x14ac:dyDescent="0.3">
      <c r="A1651" s="20"/>
      <c r="E1651" s="20"/>
    </row>
    <row r="1652" spans="1:5" x14ac:dyDescent="0.3">
      <c r="A1652" s="20"/>
      <c r="E1652" s="20"/>
    </row>
    <row r="1653" spans="1:5" x14ac:dyDescent="0.3">
      <c r="A1653" s="20"/>
      <c r="E1653" s="20"/>
    </row>
    <row r="1654" spans="1:5" x14ac:dyDescent="0.3">
      <c r="A1654" s="20"/>
      <c r="E1654" s="20"/>
    </row>
    <row r="1655" spans="1:5" x14ac:dyDescent="0.3">
      <c r="A1655" s="20"/>
      <c r="E1655" s="20"/>
    </row>
    <row r="1656" spans="1:5" x14ac:dyDescent="0.3">
      <c r="A1656" s="20"/>
      <c r="E1656" s="20"/>
    </row>
    <row r="1657" spans="1:5" x14ac:dyDescent="0.3">
      <c r="A1657" s="20"/>
      <c r="E1657" s="20"/>
    </row>
    <row r="1658" spans="1:5" x14ac:dyDescent="0.3">
      <c r="A1658" s="20"/>
      <c r="E1658" s="20"/>
    </row>
    <row r="1659" spans="1:5" x14ac:dyDescent="0.3">
      <c r="A1659" s="20"/>
      <c r="E1659" s="20"/>
    </row>
    <row r="1660" spans="1:5" x14ac:dyDescent="0.3">
      <c r="A1660" s="20"/>
      <c r="E1660" s="20"/>
    </row>
    <row r="1661" spans="1:5" x14ac:dyDescent="0.3">
      <c r="A1661" s="20"/>
      <c r="E1661" s="20"/>
    </row>
    <row r="1662" spans="1:5" x14ac:dyDescent="0.3">
      <c r="A1662" s="20"/>
      <c r="E1662" s="20"/>
    </row>
    <row r="1663" spans="1:5" x14ac:dyDescent="0.3">
      <c r="A1663" s="20"/>
      <c r="E1663" s="20"/>
    </row>
    <row r="1664" spans="1:5" x14ac:dyDescent="0.3">
      <c r="A1664" s="20"/>
      <c r="E1664" s="20"/>
    </row>
    <row r="1665" spans="1:5" x14ac:dyDescent="0.3">
      <c r="A1665" s="20"/>
      <c r="E1665" s="20"/>
    </row>
    <row r="1666" spans="1:5" x14ac:dyDescent="0.3">
      <c r="A1666" s="20"/>
      <c r="E1666" s="20"/>
    </row>
    <row r="1667" spans="1:5" x14ac:dyDescent="0.3">
      <c r="A1667" s="20"/>
      <c r="E1667" s="20"/>
    </row>
    <row r="1668" spans="1:5" x14ac:dyDescent="0.3">
      <c r="A1668" s="20"/>
      <c r="E1668" s="20"/>
    </row>
    <row r="1669" spans="1:5" x14ac:dyDescent="0.3">
      <c r="A1669" s="20"/>
      <c r="E1669" s="20"/>
    </row>
    <row r="1670" spans="1:5" x14ac:dyDescent="0.3">
      <c r="A1670" s="20"/>
      <c r="E1670" s="20"/>
    </row>
    <row r="1671" spans="1:5" x14ac:dyDescent="0.3">
      <c r="A1671" s="20"/>
      <c r="E1671" s="20"/>
    </row>
    <row r="1672" spans="1:5" x14ac:dyDescent="0.3">
      <c r="A1672" s="20"/>
      <c r="E1672" s="20"/>
    </row>
    <row r="1673" spans="1:5" x14ac:dyDescent="0.3">
      <c r="A1673" s="20"/>
      <c r="E1673" s="20"/>
    </row>
    <row r="1674" spans="1:5" x14ac:dyDescent="0.3">
      <c r="A1674" s="20"/>
      <c r="E1674" s="20"/>
    </row>
    <row r="1675" spans="1:5" x14ac:dyDescent="0.3">
      <c r="A1675" s="20"/>
      <c r="E1675" s="20"/>
    </row>
    <row r="1676" spans="1:5" x14ac:dyDescent="0.3">
      <c r="A1676" s="20"/>
      <c r="E1676" s="20"/>
    </row>
    <row r="1677" spans="1:5" x14ac:dyDescent="0.3">
      <c r="A1677" s="20"/>
      <c r="E1677" s="20"/>
    </row>
    <row r="1678" spans="1:5" x14ac:dyDescent="0.3">
      <c r="A1678" s="20"/>
      <c r="E1678" s="20"/>
    </row>
    <row r="1679" spans="1:5" x14ac:dyDescent="0.3">
      <c r="A1679" s="20"/>
      <c r="E1679" s="20"/>
    </row>
    <row r="1680" spans="1:5" x14ac:dyDescent="0.3">
      <c r="A1680" s="20"/>
      <c r="E1680" s="20"/>
    </row>
    <row r="1681" spans="1:5" x14ac:dyDescent="0.3">
      <c r="A1681" s="20"/>
      <c r="E1681" s="20"/>
    </row>
    <row r="1682" spans="1:5" x14ac:dyDescent="0.3">
      <c r="A1682" s="20"/>
      <c r="E1682" s="20"/>
    </row>
    <row r="1683" spans="1:5" x14ac:dyDescent="0.3">
      <c r="A1683" s="20"/>
      <c r="E1683" s="20"/>
    </row>
    <row r="1684" spans="1:5" x14ac:dyDescent="0.3">
      <c r="A1684" s="20"/>
      <c r="E1684" s="20"/>
    </row>
    <row r="1685" spans="1:5" x14ac:dyDescent="0.3">
      <c r="A1685" s="20"/>
      <c r="E1685" s="20"/>
    </row>
    <row r="1686" spans="1:5" x14ac:dyDescent="0.3">
      <c r="A1686" s="20"/>
      <c r="E1686" s="20"/>
    </row>
    <row r="1687" spans="1:5" x14ac:dyDescent="0.3">
      <c r="A1687" s="20"/>
      <c r="E1687" s="20"/>
    </row>
    <row r="1688" spans="1:5" x14ac:dyDescent="0.3">
      <c r="A1688" s="20"/>
      <c r="E1688" s="20"/>
    </row>
    <row r="1689" spans="1:5" x14ac:dyDescent="0.3">
      <c r="A1689" s="20"/>
      <c r="E1689" s="20"/>
    </row>
    <row r="1690" spans="1:5" x14ac:dyDescent="0.3">
      <c r="A1690" s="20"/>
      <c r="E1690" s="20"/>
    </row>
    <row r="1691" spans="1:5" x14ac:dyDescent="0.3">
      <c r="A1691" s="20"/>
      <c r="E1691" s="20"/>
    </row>
    <row r="1692" spans="1:5" x14ac:dyDescent="0.3">
      <c r="A1692" s="20"/>
      <c r="E1692" s="20"/>
    </row>
    <row r="1693" spans="1:5" x14ac:dyDescent="0.3">
      <c r="A1693" s="20"/>
      <c r="E1693" s="20"/>
    </row>
    <row r="1694" spans="1:5" x14ac:dyDescent="0.3">
      <c r="A1694" s="20"/>
      <c r="E1694" s="20"/>
    </row>
    <row r="1695" spans="1:5" x14ac:dyDescent="0.3">
      <c r="A1695" s="20"/>
      <c r="E1695" s="20"/>
    </row>
    <row r="1696" spans="1:5" x14ac:dyDescent="0.3">
      <c r="A1696" s="20"/>
      <c r="E1696" s="20"/>
    </row>
    <row r="1697" spans="1:5" x14ac:dyDescent="0.3">
      <c r="A1697" s="20"/>
      <c r="E1697" s="20"/>
    </row>
    <row r="1698" spans="1:5" x14ac:dyDescent="0.3">
      <c r="A1698" s="20"/>
      <c r="E1698" s="20"/>
    </row>
    <row r="1699" spans="1:5" x14ac:dyDescent="0.3">
      <c r="A1699" s="20"/>
      <c r="E1699" s="20"/>
    </row>
    <row r="1700" spans="1:5" x14ac:dyDescent="0.3">
      <c r="A1700" s="20"/>
      <c r="E1700" s="20"/>
    </row>
    <row r="1701" spans="1:5" x14ac:dyDescent="0.3">
      <c r="A1701" s="20"/>
      <c r="E1701" s="20"/>
    </row>
    <row r="1702" spans="1:5" x14ac:dyDescent="0.3">
      <c r="A1702" s="20"/>
      <c r="E1702" s="20"/>
    </row>
    <row r="1703" spans="1:5" x14ac:dyDescent="0.3">
      <c r="A1703" s="20"/>
      <c r="E1703" s="20"/>
    </row>
    <row r="1704" spans="1:5" x14ac:dyDescent="0.3">
      <c r="A1704" s="20"/>
      <c r="E1704" s="20"/>
    </row>
    <row r="1705" spans="1:5" x14ac:dyDescent="0.3">
      <c r="A1705" s="20"/>
      <c r="E1705" s="20"/>
    </row>
    <row r="1706" spans="1:5" x14ac:dyDescent="0.3">
      <c r="A1706" s="20"/>
      <c r="E1706" s="20"/>
    </row>
    <row r="1707" spans="1:5" x14ac:dyDescent="0.3">
      <c r="A1707" s="20"/>
      <c r="E1707" s="20"/>
    </row>
    <row r="1708" spans="1:5" x14ac:dyDescent="0.3">
      <c r="A1708" s="20"/>
      <c r="E1708" s="20"/>
    </row>
    <row r="1709" spans="1:5" x14ac:dyDescent="0.3">
      <c r="A1709" s="20"/>
      <c r="E1709" s="20"/>
    </row>
    <row r="1710" spans="1:5" x14ac:dyDescent="0.3">
      <c r="A1710" s="20"/>
      <c r="E1710" s="20"/>
    </row>
    <row r="1711" spans="1:5" x14ac:dyDescent="0.3">
      <c r="A1711" s="20"/>
      <c r="E1711" s="20"/>
    </row>
    <row r="1712" spans="1:5" x14ac:dyDescent="0.3">
      <c r="A1712" s="20"/>
      <c r="E1712" s="20"/>
    </row>
    <row r="1713" spans="1:5" x14ac:dyDescent="0.3">
      <c r="A1713" s="20"/>
      <c r="E1713" s="20"/>
    </row>
    <row r="1714" spans="1:5" x14ac:dyDescent="0.3">
      <c r="A1714" s="20"/>
      <c r="E1714" s="20"/>
    </row>
    <row r="1715" spans="1:5" x14ac:dyDescent="0.3">
      <c r="A1715" s="20"/>
      <c r="E1715" s="20"/>
    </row>
    <row r="1716" spans="1:5" x14ac:dyDescent="0.3">
      <c r="A1716" s="20"/>
      <c r="E1716" s="20"/>
    </row>
    <row r="1717" spans="1:5" x14ac:dyDescent="0.3">
      <c r="A1717" s="20"/>
      <c r="E1717" s="20"/>
    </row>
    <row r="1718" spans="1:5" x14ac:dyDescent="0.3">
      <c r="A1718" s="20"/>
      <c r="E1718" s="20"/>
    </row>
    <row r="1719" spans="1:5" x14ac:dyDescent="0.3">
      <c r="A1719" s="20"/>
      <c r="E1719" s="20"/>
    </row>
    <row r="1720" spans="1:5" x14ac:dyDescent="0.3">
      <c r="A1720" s="20"/>
      <c r="E1720" s="20"/>
    </row>
    <row r="1721" spans="1:5" x14ac:dyDescent="0.3">
      <c r="A1721" s="20"/>
      <c r="E1721" s="20"/>
    </row>
    <row r="1722" spans="1:5" x14ac:dyDescent="0.3">
      <c r="A1722" s="20"/>
      <c r="E1722" s="20"/>
    </row>
    <row r="1723" spans="1:5" x14ac:dyDescent="0.3">
      <c r="A1723" s="20"/>
      <c r="E1723" s="20"/>
    </row>
    <row r="1724" spans="1:5" x14ac:dyDescent="0.3">
      <c r="A1724" s="20"/>
      <c r="E1724" s="20"/>
    </row>
    <row r="1725" spans="1:5" x14ac:dyDescent="0.3">
      <c r="A1725" s="20"/>
      <c r="E1725" s="20"/>
    </row>
    <row r="1726" spans="1:5" x14ac:dyDescent="0.3">
      <c r="A1726" s="20"/>
      <c r="E1726" s="20"/>
    </row>
    <row r="1727" spans="1:5" x14ac:dyDescent="0.3">
      <c r="A1727" s="20"/>
      <c r="E1727" s="20"/>
    </row>
    <row r="1728" spans="1:5" x14ac:dyDescent="0.3">
      <c r="A1728" s="20"/>
      <c r="E1728" s="20"/>
    </row>
    <row r="1729" spans="1:5" x14ac:dyDescent="0.3">
      <c r="A1729" s="20"/>
      <c r="E1729" s="20"/>
    </row>
    <row r="1730" spans="1:5" x14ac:dyDescent="0.3">
      <c r="A1730" s="20"/>
      <c r="E1730" s="20"/>
    </row>
    <row r="1731" spans="1:5" x14ac:dyDescent="0.3">
      <c r="A1731" s="20"/>
      <c r="E1731" s="20"/>
    </row>
    <row r="1732" spans="1:5" x14ac:dyDescent="0.3">
      <c r="A1732" s="20"/>
      <c r="E1732" s="20"/>
    </row>
    <row r="1733" spans="1:5" x14ac:dyDescent="0.3">
      <c r="A1733" s="20"/>
      <c r="E1733" s="20"/>
    </row>
    <row r="1734" spans="1:5" x14ac:dyDescent="0.3">
      <c r="A1734" s="20"/>
      <c r="E1734" s="20"/>
    </row>
    <row r="1735" spans="1:5" x14ac:dyDescent="0.3">
      <c r="A1735" s="20"/>
      <c r="E1735" s="20"/>
    </row>
    <row r="1736" spans="1:5" x14ac:dyDescent="0.3">
      <c r="A1736" s="20"/>
      <c r="E1736" s="20"/>
    </row>
    <row r="1737" spans="1:5" x14ac:dyDescent="0.3">
      <c r="A1737" s="20"/>
      <c r="E1737" s="20"/>
    </row>
    <row r="1738" spans="1:5" x14ac:dyDescent="0.3">
      <c r="A1738" s="20"/>
      <c r="E1738" s="20"/>
    </row>
    <row r="1739" spans="1:5" x14ac:dyDescent="0.3">
      <c r="A1739" s="20"/>
      <c r="E1739" s="20"/>
    </row>
    <row r="1740" spans="1:5" x14ac:dyDescent="0.3">
      <c r="A1740" s="20"/>
      <c r="E1740" s="20"/>
    </row>
    <row r="1741" spans="1:5" x14ac:dyDescent="0.3">
      <c r="A1741" s="20"/>
      <c r="E1741" s="20"/>
    </row>
    <row r="1742" spans="1:5" x14ac:dyDescent="0.3">
      <c r="A1742" s="20"/>
      <c r="E1742" s="20"/>
    </row>
    <row r="1743" spans="1:5" x14ac:dyDescent="0.3">
      <c r="A1743" s="20"/>
      <c r="E1743" s="20"/>
    </row>
    <row r="1744" spans="1:5" x14ac:dyDescent="0.3">
      <c r="A1744" s="20"/>
      <c r="E1744" s="20"/>
    </row>
    <row r="1745" spans="1:5" x14ac:dyDescent="0.3">
      <c r="A1745" s="20"/>
      <c r="E1745" s="20"/>
    </row>
    <row r="1746" spans="1:5" x14ac:dyDescent="0.3">
      <c r="A1746" s="20"/>
      <c r="E1746" s="20"/>
    </row>
    <row r="1747" spans="1:5" x14ac:dyDescent="0.3">
      <c r="A1747" s="20"/>
      <c r="E1747" s="20"/>
    </row>
    <row r="1748" spans="1:5" x14ac:dyDescent="0.3">
      <c r="A1748" s="20"/>
      <c r="E1748" s="20"/>
    </row>
    <row r="1749" spans="1:5" x14ac:dyDescent="0.3">
      <c r="A1749" s="20"/>
      <c r="E1749" s="20"/>
    </row>
    <row r="1750" spans="1:5" x14ac:dyDescent="0.3">
      <c r="A1750" s="20"/>
      <c r="E1750" s="20"/>
    </row>
    <row r="1751" spans="1:5" x14ac:dyDescent="0.3">
      <c r="A1751" s="20"/>
      <c r="E1751" s="20"/>
    </row>
    <row r="1752" spans="1:5" x14ac:dyDescent="0.3">
      <c r="A1752" s="20"/>
      <c r="E1752" s="20"/>
    </row>
    <row r="1753" spans="1:5" x14ac:dyDescent="0.3">
      <c r="A1753" s="20"/>
      <c r="E1753" s="20"/>
    </row>
    <row r="1754" spans="1:5" x14ac:dyDescent="0.3">
      <c r="A1754" s="20"/>
      <c r="E1754" s="20"/>
    </row>
    <row r="1755" spans="1:5" x14ac:dyDescent="0.3">
      <c r="A1755" s="20"/>
      <c r="E1755" s="20"/>
    </row>
    <row r="1756" spans="1:5" x14ac:dyDescent="0.3">
      <c r="A1756" s="20"/>
      <c r="E1756" s="20"/>
    </row>
    <row r="1757" spans="1:5" x14ac:dyDescent="0.3">
      <c r="A1757" s="20"/>
      <c r="E1757" s="20"/>
    </row>
    <row r="1758" spans="1:5" x14ac:dyDescent="0.3">
      <c r="A1758" s="20"/>
      <c r="E1758" s="20"/>
    </row>
    <row r="1759" spans="1:5" x14ac:dyDescent="0.3">
      <c r="A1759" s="20"/>
      <c r="E1759" s="20"/>
    </row>
    <row r="1760" spans="1:5" x14ac:dyDescent="0.3">
      <c r="A1760" s="20"/>
      <c r="E1760" s="20"/>
    </row>
    <row r="1761" spans="1:5" x14ac:dyDescent="0.3">
      <c r="A1761" s="20"/>
      <c r="E1761" s="20"/>
    </row>
    <row r="1762" spans="1:5" x14ac:dyDescent="0.3">
      <c r="A1762" s="20"/>
      <c r="E1762" s="20"/>
    </row>
    <row r="1763" spans="1:5" x14ac:dyDescent="0.3">
      <c r="A1763" s="20"/>
      <c r="E1763" s="20"/>
    </row>
    <row r="1764" spans="1:5" x14ac:dyDescent="0.3">
      <c r="A1764" s="20"/>
      <c r="E1764" s="20"/>
    </row>
    <row r="1765" spans="1:5" x14ac:dyDescent="0.3">
      <c r="A1765" s="20"/>
      <c r="E1765" s="20"/>
    </row>
    <row r="1766" spans="1:5" x14ac:dyDescent="0.3">
      <c r="A1766" s="20"/>
      <c r="E1766" s="20"/>
    </row>
    <row r="1767" spans="1:5" x14ac:dyDescent="0.3">
      <c r="A1767" s="20"/>
      <c r="E1767" s="20"/>
    </row>
    <row r="1768" spans="1:5" x14ac:dyDescent="0.3">
      <c r="A1768" s="20"/>
      <c r="E1768" s="20"/>
    </row>
    <row r="1769" spans="1:5" x14ac:dyDescent="0.3">
      <c r="A1769" s="20"/>
      <c r="E1769" s="20"/>
    </row>
    <row r="1770" spans="1:5" x14ac:dyDescent="0.3">
      <c r="A1770" s="20"/>
      <c r="E1770" s="20"/>
    </row>
    <row r="1771" spans="1:5" x14ac:dyDescent="0.3">
      <c r="A1771" s="20"/>
      <c r="E1771" s="20"/>
    </row>
    <row r="1772" spans="1:5" x14ac:dyDescent="0.3">
      <c r="A1772" s="20"/>
      <c r="E1772" s="20"/>
    </row>
    <row r="1773" spans="1:5" x14ac:dyDescent="0.3">
      <c r="A1773" s="20"/>
      <c r="E1773" s="20"/>
    </row>
    <row r="1774" spans="1:5" x14ac:dyDescent="0.3">
      <c r="A1774" s="20"/>
      <c r="E1774" s="20"/>
    </row>
    <row r="1775" spans="1:5" x14ac:dyDescent="0.3">
      <c r="A1775" s="20"/>
      <c r="E1775" s="20"/>
    </row>
    <row r="1776" spans="1:5" x14ac:dyDescent="0.3">
      <c r="A1776" s="20"/>
      <c r="E1776" s="20"/>
    </row>
    <row r="1777" spans="1:5" x14ac:dyDescent="0.3">
      <c r="A1777" s="20"/>
      <c r="E1777" s="20"/>
    </row>
    <row r="1778" spans="1:5" x14ac:dyDescent="0.3">
      <c r="A1778" s="20"/>
      <c r="E1778" s="20"/>
    </row>
    <row r="1779" spans="1:5" x14ac:dyDescent="0.3">
      <c r="A1779" s="20"/>
      <c r="E1779" s="20"/>
    </row>
    <row r="1780" spans="1:5" x14ac:dyDescent="0.3">
      <c r="A1780" s="20"/>
      <c r="E1780" s="20"/>
    </row>
    <row r="1781" spans="1:5" x14ac:dyDescent="0.3">
      <c r="A1781" s="20"/>
      <c r="E1781" s="20"/>
    </row>
    <row r="1782" spans="1:5" x14ac:dyDescent="0.3">
      <c r="A1782" s="20"/>
      <c r="E1782" s="20"/>
    </row>
    <row r="1783" spans="1:5" x14ac:dyDescent="0.3">
      <c r="A1783" s="20"/>
      <c r="E1783" s="20"/>
    </row>
    <row r="1784" spans="1:5" x14ac:dyDescent="0.3">
      <c r="A1784" s="20"/>
      <c r="E1784" s="20"/>
    </row>
    <row r="1785" spans="1:5" x14ac:dyDescent="0.3">
      <c r="A1785" s="20"/>
      <c r="E1785" s="20"/>
    </row>
    <row r="1786" spans="1:5" x14ac:dyDescent="0.3">
      <c r="A1786" s="20"/>
      <c r="E1786" s="20"/>
    </row>
    <row r="1787" spans="1:5" x14ac:dyDescent="0.3">
      <c r="A1787" s="20"/>
      <c r="E1787" s="20"/>
    </row>
    <row r="1788" spans="1:5" x14ac:dyDescent="0.3">
      <c r="A1788" s="20"/>
      <c r="E1788" s="20"/>
    </row>
    <row r="1789" spans="1:5" x14ac:dyDescent="0.3">
      <c r="A1789" s="20"/>
      <c r="E1789" s="20"/>
    </row>
    <row r="1790" spans="1:5" x14ac:dyDescent="0.3">
      <c r="A1790" s="20"/>
      <c r="E1790" s="20"/>
    </row>
    <row r="1791" spans="1:5" x14ac:dyDescent="0.3">
      <c r="A1791" s="20"/>
      <c r="E1791" s="20"/>
    </row>
    <row r="1792" spans="1:5" x14ac:dyDescent="0.3">
      <c r="A1792" s="20"/>
      <c r="E1792" s="20"/>
    </row>
    <row r="1793" spans="1:5" x14ac:dyDescent="0.3">
      <c r="A1793" s="20"/>
      <c r="E1793" s="20"/>
    </row>
    <row r="1794" spans="1:5" x14ac:dyDescent="0.3">
      <c r="A1794" s="20"/>
      <c r="E1794" s="20"/>
    </row>
    <row r="1795" spans="1:5" x14ac:dyDescent="0.3">
      <c r="A1795" s="20"/>
      <c r="E1795" s="20"/>
    </row>
    <row r="1796" spans="1:5" x14ac:dyDescent="0.3">
      <c r="A1796" s="20"/>
      <c r="E1796" s="20"/>
    </row>
    <row r="1797" spans="1:5" x14ac:dyDescent="0.3">
      <c r="A1797" s="20"/>
      <c r="E1797" s="20"/>
    </row>
    <row r="1798" spans="1:5" x14ac:dyDescent="0.3">
      <c r="A1798" s="20"/>
      <c r="E1798" s="20"/>
    </row>
    <row r="1799" spans="1:5" x14ac:dyDescent="0.3">
      <c r="A1799" s="20"/>
      <c r="E1799" s="20"/>
    </row>
    <row r="1800" spans="1:5" x14ac:dyDescent="0.3">
      <c r="A1800" s="20"/>
      <c r="E1800" s="20"/>
    </row>
    <row r="1801" spans="1:5" x14ac:dyDescent="0.3">
      <c r="A1801" s="20"/>
      <c r="E1801" s="20"/>
    </row>
    <row r="1802" spans="1:5" x14ac:dyDescent="0.3">
      <c r="A1802" s="20"/>
      <c r="E1802" s="20"/>
    </row>
    <row r="1803" spans="1:5" x14ac:dyDescent="0.3">
      <c r="A1803" s="20"/>
      <c r="E1803" s="20"/>
    </row>
    <row r="1804" spans="1:5" x14ac:dyDescent="0.3">
      <c r="A1804" s="20"/>
      <c r="E1804" s="20"/>
    </row>
    <row r="1805" spans="1:5" x14ac:dyDescent="0.3">
      <c r="A1805" s="20"/>
      <c r="E1805" s="20"/>
    </row>
    <row r="1806" spans="1:5" x14ac:dyDescent="0.3">
      <c r="A1806" s="20"/>
      <c r="E1806" s="20"/>
    </row>
    <row r="1807" spans="1:5" x14ac:dyDescent="0.3">
      <c r="A1807" s="20"/>
      <c r="E1807" s="20"/>
    </row>
    <row r="1808" spans="1:5" x14ac:dyDescent="0.3">
      <c r="A1808" s="20"/>
      <c r="E1808" s="20"/>
    </row>
    <row r="1809" spans="1:5" x14ac:dyDescent="0.3">
      <c r="A1809" s="20"/>
      <c r="E1809" s="20"/>
    </row>
    <row r="1810" spans="1:5" x14ac:dyDescent="0.3">
      <c r="A1810" s="20"/>
      <c r="E1810" s="20"/>
    </row>
    <row r="1811" spans="1:5" x14ac:dyDescent="0.3">
      <c r="A1811" s="20"/>
      <c r="E1811" s="20"/>
    </row>
    <row r="1812" spans="1:5" x14ac:dyDescent="0.3">
      <c r="A1812" s="20"/>
      <c r="E1812" s="20"/>
    </row>
    <row r="1813" spans="1:5" x14ac:dyDescent="0.3">
      <c r="A1813" s="20"/>
      <c r="E1813" s="20"/>
    </row>
    <row r="1814" spans="1:5" x14ac:dyDescent="0.3">
      <c r="A1814" s="20"/>
      <c r="E1814" s="20"/>
    </row>
    <row r="1815" spans="1:5" x14ac:dyDescent="0.3">
      <c r="A1815" s="20"/>
      <c r="E1815" s="20"/>
    </row>
    <row r="1816" spans="1:5" x14ac:dyDescent="0.3">
      <c r="A1816" s="20"/>
      <c r="E1816" s="20"/>
    </row>
    <row r="1817" spans="1:5" x14ac:dyDescent="0.3">
      <c r="A1817" s="20"/>
      <c r="E1817" s="20"/>
    </row>
    <row r="1818" spans="1:5" x14ac:dyDescent="0.3">
      <c r="A1818" s="20"/>
      <c r="E1818" s="20"/>
    </row>
    <row r="1819" spans="1:5" x14ac:dyDescent="0.3">
      <c r="A1819" s="20"/>
      <c r="E1819" s="20"/>
    </row>
    <row r="1820" spans="1:5" x14ac:dyDescent="0.3">
      <c r="A1820" s="20"/>
      <c r="E1820" s="20"/>
    </row>
    <row r="1821" spans="1:5" x14ac:dyDescent="0.3">
      <c r="A1821" s="20"/>
      <c r="E1821" s="20"/>
    </row>
    <row r="1822" spans="1:5" x14ac:dyDescent="0.3">
      <c r="A1822" s="20"/>
      <c r="E1822" s="20"/>
    </row>
    <row r="1823" spans="1:5" x14ac:dyDescent="0.3">
      <c r="A1823" s="20"/>
      <c r="E1823" s="20"/>
    </row>
    <row r="1824" spans="1:5" x14ac:dyDescent="0.3">
      <c r="A1824" s="20"/>
      <c r="E1824" s="20"/>
    </row>
    <row r="1825" spans="1:5" x14ac:dyDescent="0.3">
      <c r="A1825" s="20"/>
      <c r="E1825" s="20"/>
    </row>
    <row r="1826" spans="1:5" x14ac:dyDescent="0.3">
      <c r="A1826" s="20"/>
      <c r="E1826" s="20"/>
    </row>
    <row r="1827" spans="1:5" x14ac:dyDescent="0.3">
      <c r="A1827" s="20"/>
      <c r="E1827" s="20"/>
    </row>
    <row r="1828" spans="1:5" x14ac:dyDescent="0.3">
      <c r="A1828" s="20"/>
      <c r="E1828" s="20"/>
    </row>
    <row r="1829" spans="1:5" x14ac:dyDescent="0.3">
      <c r="A1829" s="20"/>
      <c r="E1829" s="20"/>
    </row>
    <row r="1830" spans="1:5" x14ac:dyDescent="0.3">
      <c r="A1830" s="20"/>
      <c r="E1830" s="20"/>
    </row>
    <row r="1831" spans="1:5" x14ac:dyDescent="0.3">
      <c r="A1831" s="20"/>
      <c r="E1831" s="20"/>
    </row>
    <row r="1832" spans="1:5" x14ac:dyDescent="0.3">
      <c r="A1832" s="20"/>
      <c r="E1832" s="20"/>
    </row>
    <row r="1833" spans="1:5" x14ac:dyDescent="0.3">
      <c r="A1833" s="20"/>
      <c r="E1833" s="20"/>
    </row>
    <row r="1834" spans="1:5" x14ac:dyDescent="0.3">
      <c r="A1834" s="20"/>
      <c r="E1834" s="20"/>
    </row>
    <row r="1835" spans="1:5" x14ac:dyDescent="0.3">
      <c r="A1835" s="20"/>
      <c r="E1835" s="20"/>
    </row>
    <row r="1836" spans="1:5" x14ac:dyDescent="0.3">
      <c r="A1836" s="20"/>
      <c r="E1836" s="20"/>
    </row>
    <row r="1837" spans="1:5" x14ac:dyDescent="0.3">
      <c r="A1837" s="20"/>
      <c r="E1837" s="20"/>
    </row>
    <row r="1838" spans="1:5" x14ac:dyDescent="0.3">
      <c r="A1838" s="20"/>
      <c r="E1838" s="20"/>
    </row>
    <row r="1839" spans="1:5" x14ac:dyDescent="0.3">
      <c r="A1839" s="20"/>
      <c r="E1839" s="20"/>
    </row>
    <row r="1840" spans="1:5" x14ac:dyDescent="0.3">
      <c r="A1840" s="20"/>
      <c r="E1840" s="20"/>
    </row>
    <row r="1841" spans="1:5" x14ac:dyDescent="0.3">
      <c r="A1841" s="20"/>
      <c r="E1841" s="20"/>
    </row>
    <row r="1842" spans="1:5" x14ac:dyDescent="0.3">
      <c r="A1842" s="20"/>
      <c r="E1842" s="20"/>
    </row>
    <row r="1843" spans="1:5" x14ac:dyDescent="0.3">
      <c r="A1843" s="20"/>
      <c r="E1843" s="20"/>
    </row>
    <row r="1844" spans="1:5" x14ac:dyDescent="0.3">
      <c r="A1844" s="20"/>
      <c r="E1844" s="20"/>
    </row>
    <row r="1845" spans="1:5" x14ac:dyDescent="0.3">
      <c r="A1845" s="20"/>
      <c r="E1845" s="20"/>
    </row>
    <row r="1846" spans="1:5" x14ac:dyDescent="0.3">
      <c r="A1846" s="20"/>
      <c r="E1846" s="20"/>
    </row>
    <row r="1847" spans="1:5" x14ac:dyDescent="0.3">
      <c r="A1847" s="20"/>
      <c r="E1847" s="20"/>
    </row>
    <row r="1848" spans="1:5" x14ac:dyDescent="0.3">
      <c r="A1848" s="20"/>
      <c r="E1848" s="20"/>
    </row>
    <row r="1849" spans="1:5" x14ac:dyDescent="0.3">
      <c r="A1849" s="20"/>
      <c r="E1849" s="20"/>
    </row>
    <row r="1850" spans="1:5" x14ac:dyDescent="0.3">
      <c r="A1850" s="20"/>
      <c r="E1850" s="20"/>
    </row>
    <row r="1851" spans="1:5" x14ac:dyDescent="0.3">
      <c r="A1851" s="20"/>
      <c r="E1851" s="20"/>
    </row>
    <row r="1852" spans="1:5" x14ac:dyDescent="0.3">
      <c r="A1852" s="20"/>
      <c r="E1852" s="20"/>
    </row>
    <row r="1853" spans="1:5" x14ac:dyDescent="0.3">
      <c r="A1853" s="20"/>
      <c r="E1853" s="20"/>
    </row>
    <row r="1854" spans="1:5" x14ac:dyDescent="0.3">
      <c r="A1854" s="20"/>
      <c r="E1854" s="20"/>
    </row>
    <row r="1855" spans="1:5" x14ac:dyDescent="0.3">
      <c r="A1855" s="20"/>
      <c r="E1855" s="20"/>
    </row>
    <row r="1856" spans="1:5" x14ac:dyDescent="0.3">
      <c r="A1856" s="20"/>
      <c r="E1856" s="20"/>
    </row>
    <row r="1857" spans="1:5" x14ac:dyDescent="0.3">
      <c r="A1857" s="20"/>
      <c r="E1857" s="20"/>
    </row>
    <row r="1858" spans="1:5" x14ac:dyDescent="0.3">
      <c r="A1858" s="20"/>
      <c r="E1858" s="20"/>
    </row>
    <row r="1859" spans="1:5" x14ac:dyDescent="0.3">
      <c r="A1859" s="20"/>
      <c r="E1859" s="20"/>
    </row>
    <row r="1860" spans="1:5" x14ac:dyDescent="0.3">
      <c r="A1860" s="20"/>
      <c r="E1860" s="20"/>
    </row>
    <row r="1861" spans="1:5" x14ac:dyDescent="0.3">
      <c r="A1861" s="20"/>
      <c r="E1861" s="20"/>
    </row>
    <row r="1862" spans="1:5" x14ac:dyDescent="0.3">
      <c r="A1862" s="20"/>
      <c r="E1862" s="20"/>
    </row>
    <row r="1863" spans="1:5" x14ac:dyDescent="0.3">
      <c r="A1863" s="20"/>
      <c r="E1863" s="20"/>
    </row>
    <row r="1864" spans="1:5" x14ac:dyDescent="0.3">
      <c r="A1864" s="20"/>
      <c r="E1864" s="20"/>
    </row>
    <row r="1865" spans="1:5" x14ac:dyDescent="0.3">
      <c r="A1865" s="20"/>
      <c r="E1865" s="20"/>
    </row>
    <row r="1866" spans="1:5" x14ac:dyDescent="0.3">
      <c r="A1866" s="20"/>
      <c r="E1866" s="20"/>
    </row>
    <row r="1867" spans="1:5" x14ac:dyDescent="0.3">
      <c r="A1867" s="20"/>
      <c r="E1867" s="20"/>
    </row>
    <row r="1868" spans="1:5" x14ac:dyDescent="0.3">
      <c r="A1868" s="20"/>
      <c r="E1868" s="20"/>
    </row>
    <row r="1869" spans="1:5" x14ac:dyDescent="0.3">
      <c r="A1869" s="20"/>
      <c r="E1869" s="20"/>
    </row>
    <row r="1870" spans="1:5" x14ac:dyDescent="0.3">
      <c r="A1870" s="20"/>
      <c r="E1870" s="20"/>
    </row>
    <row r="1871" spans="1:5" x14ac:dyDescent="0.3">
      <c r="A1871" s="20"/>
      <c r="E1871" s="20"/>
    </row>
    <row r="1872" spans="1:5" x14ac:dyDescent="0.3">
      <c r="A1872" s="20"/>
      <c r="E1872" s="20"/>
    </row>
    <row r="1873" spans="1:5" x14ac:dyDescent="0.3">
      <c r="A1873" s="20"/>
      <c r="E1873" s="20"/>
    </row>
    <row r="1874" spans="1:5" x14ac:dyDescent="0.3">
      <c r="A1874" s="20"/>
      <c r="E1874" s="20"/>
    </row>
    <row r="1875" spans="1:5" x14ac:dyDescent="0.3">
      <c r="A1875" s="20"/>
      <c r="E1875" s="20"/>
    </row>
    <row r="1876" spans="1:5" x14ac:dyDescent="0.3">
      <c r="A1876" s="20"/>
      <c r="E1876" s="20"/>
    </row>
    <row r="1877" spans="1:5" x14ac:dyDescent="0.3">
      <c r="A1877" s="20"/>
      <c r="E1877" s="20"/>
    </row>
    <row r="1878" spans="1:5" x14ac:dyDescent="0.3">
      <c r="A1878" s="20"/>
      <c r="E1878" s="20"/>
    </row>
    <row r="1879" spans="1:5" x14ac:dyDescent="0.3">
      <c r="A1879" s="20"/>
      <c r="E1879" s="20"/>
    </row>
    <row r="1880" spans="1:5" x14ac:dyDescent="0.3">
      <c r="A1880" s="20"/>
      <c r="E1880" s="20"/>
    </row>
    <row r="1881" spans="1:5" x14ac:dyDescent="0.3">
      <c r="A1881" s="20"/>
      <c r="E1881" s="20"/>
    </row>
    <row r="1882" spans="1:5" x14ac:dyDescent="0.3">
      <c r="A1882" s="20"/>
      <c r="E1882" s="20"/>
    </row>
    <row r="1883" spans="1:5" x14ac:dyDescent="0.3">
      <c r="A1883" s="20"/>
      <c r="E1883" s="20"/>
    </row>
    <row r="1884" spans="1:5" x14ac:dyDescent="0.3">
      <c r="A1884" s="20"/>
      <c r="E1884" s="20"/>
    </row>
    <row r="1885" spans="1:5" x14ac:dyDescent="0.3">
      <c r="A1885" s="20"/>
      <c r="E1885" s="20"/>
    </row>
    <row r="1886" spans="1:5" x14ac:dyDescent="0.3">
      <c r="A1886" s="20"/>
      <c r="E1886" s="20"/>
    </row>
    <row r="1887" spans="1:5" x14ac:dyDescent="0.3">
      <c r="A1887" s="20"/>
      <c r="E1887" s="20"/>
    </row>
    <row r="1888" spans="1:5" x14ac:dyDescent="0.3">
      <c r="A1888" s="20"/>
      <c r="E1888" s="20"/>
    </row>
    <row r="1889" spans="1:5" x14ac:dyDescent="0.3">
      <c r="A1889" s="20"/>
      <c r="E1889" s="20"/>
    </row>
    <row r="1890" spans="1:5" x14ac:dyDescent="0.3">
      <c r="A1890" s="20"/>
      <c r="E1890" s="20"/>
    </row>
    <row r="1891" spans="1:5" x14ac:dyDescent="0.3">
      <c r="A1891" s="20"/>
      <c r="E1891" s="20"/>
    </row>
    <row r="1892" spans="1:5" x14ac:dyDescent="0.3">
      <c r="A1892" s="20"/>
      <c r="E1892" s="20"/>
    </row>
    <row r="1893" spans="1:5" x14ac:dyDescent="0.3">
      <c r="A1893" s="20"/>
      <c r="E1893" s="20"/>
    </row>
    <row r="1894" spans="1:5" x14ac:dyDescent="0.3">
      <c r="A1894" s="20"/>
      <c r="E1894" s="20"/>
    </row>
    <row r="1895" spans="1:5" x14ac:dyDescent="0.3">
      <c r="A1895" s="20"/>
      <c r="E1895" s="20"/>
    </row>
    <row r="1896" spans="1:5" x14ac:dyDescent="0.3">
      <c r="A1896" s="20"/>
      <c r="E1896" s="20"/>
    </row>
    <row r="1897" spans="1:5" x14ac:dyDescent="0.3">
      <c r="A1897" s="20"/>
      <c r="E1897" s="20"/>
    </row>
    <row r="1898" spans="1:5" x14ac:dyDescent="0.3">
      <c r="A1898" s="20"/>
      <c r="E1898" s="20"/>
    </row>
    <row r="1899" spans="1:5" x14ac:dyDescent="0.3">
      <c r="A1899" s="20"/>
      <c r="E1899" s="20"/>
    </row>
    <row r="1900" spans="1:5" x14ac:dyDescent="0.3">
      <c r="A1900" s="20"/>
      <c r="E1900" s="20"/>
    </row>
    <row r="1901" spans="1:5" x14ac:dyDescent="0.3">
      <c r="A1901" s="20"/>
      <c r="E1901" s="20"/>
    </row>
    <row r="1902" spans="1:5" x14ac:dyDescent="0.3">
      <c r="A1902" s="20"/>
      <c r="E1902" s="20"/>
    </row>
    <row r="1903" spans="1:5" x14ac:dyDescent="0.3">
      <c r="A1903" s="20"/>
      <c r="E1903" s="20"/>
    </row>
    <row r="1904" spans="1:5" x14ac:dyDescent="0.3">
      <c r="A1904" s="20"/>
      <c r="E1904" s="20"/>
    </row>
    <row r="1905" spans="1:5" x14ac:dyDescent="0.3">
      <c r="A1905" s="20"/>
      <c r="E1905" s="20"/>
    </row>
    <row r="1906" spans="1:5" x14ac:dyDescent="0.3">
      <c r="A1906" s="20"/>
      <c r="E1906" s="20"/>
    </row>
    <row r="1907" spans="1:5" x14ac:dyDescent="0.3">
      <c r="A1907" s="20"/>
      <c r="E1907" s="20"/>
    </row>
    <row r="1908" spans="1:5" x14ac:dyDescent="0.3">
      <c r="A1908" s="20"/>
      <c r="E1908" s="20"/>
    </row>
    <row r="1909" spans="1:5" x14ac:dyDescent="0.3">
      <c r="A1909" s="20"/>
      <c r="E1909" s="20"/>
    </row>
    <row r="1910" spans="1:5" x14ac:dyDescent="0.3">
      <c r="A1910" s="20"/>
      <c r="E1910" s="20"/>
    </row>
    <row r="1911" spans="1:5" x14ac:dyDescent="0.3">
      <c r="A1911" s="20"/>
      <c r="E1911" s="20"/>
    </row>
    <row r="1912" spans="1:5" x14ac:dyDescent="0.3">
      <c r="A1912" s="20"/>
      <c r="E1912" s="20"/>
    </row>
    <row r="1913" spans="1:5" x14ac:dyDescent="0.3">
      <c r="A1913" s="20"/>
      <c r="E1913" s="20"/>
    </row>
    <row r="1914" spans="1:5" x14ac:dyDescent="0.3">
      <c r="A1914" s="20"/>
      <c r="E1914" s="20"/>
    </row>
    <row r="1915" spans="1:5" x14ac:dyDescent="0.3">
      <c r="A1915" s="20"/>
      <c r="E1915" s="20"/>
    </row>
    <row r="1916" spans="1:5" x14ac:dyDescent="0.3">
      <c r="A1916" s="20"/>
      <c r="E1916" s="20"/>
    </row>
    <row r="1917" spans="1:5" x14ac:dyDescent="0.3">
      <c r="A1917" s="20"/>
      <c r="E1917" s="20"/>
    </row>
    <row r="1918" spans="1:5" x14ac:dyDescent="0.3">
      <c r="A1918" s="20"/>
      <c r="E1918" s="20"/>
    </row>
    <row r="1919" spans="1:5" x14ac:dyDescent="0.3">
      <c r="A1919" s="20"/>
      <c r="E1919" s="20"/>
    </row>
    <row r="1920" spans="1:5" x14ac:dyDescent="0.3">
      <c r="A1920" s="20"/>
      <c r="E1920" s="20"/>
    </row>
    <row r="1921" spans="1:5" x14ac:dyDescent="0.3">
      <c r="A1921" s="20"/>
      <c r="E1921" s="20"/>
    </row>
    <row r="1922" spans="1:5" x14ac:dyDescent="0.3">
      <c r="A1922" s="20"/>
      <c r="E1922" s="20"/>
    </row>
    <row r="1923" spans="1:5" x14ac:dyDescent="0.3">
      <c r="A1923" s="20"/>
      <c r="E1923" s="20"/>
    </row>
    <row r="1924" spans="1:5" x14ac:dyDescent="0.3">
      <c r="A1924" s="20"/>
      <c r="E1924" s="20"/>
    </row>
    <row r="1925" spans="1:5" x14ac:dyDescent="0.3">
      <c r="A1925" s="20"/>
      <c r="E1925" s="20"/>
    </row>
    <row r="1926" spans="1:5" x14ac:dyDescent="0.3">
      <c r="A1926" s="20"/>
      <c r="E1926" s="20"/>
    </row>
    <row r="1927" spans="1:5" x14ac:dyDescent="0.3">
      <c r="A1927" s="20"/>
      <c r="E1927" s="20"/>
    </row>
    <row r="1928" spans="1:5" x14ac:dyDescent="0.3">
      <c r="A1928" s="20"/>
      <c r="E1928" s="20"/>
    </row>
    <row r="1929" spans="1:5" x14ac:dyDescent="0.3">
      <c r="A1929" s="20"/>
      <c r="E1929" s="20"/>
    </row>
    <row r="1930" spans="1:5" x14ac:dyDescent="0.3">
      <c r="A1930" s="20"/>
      <c r="E1930" s="20"/>
    </row>
    <row r="1931" spans="1:5" x14ac:dyDescent="0.3">
      <c r="A1931" s="20"/>
      <c r="E1931" s="20"/>
    </row>
    <row r="1932" spans="1:5" x14ac:dyDescent="0.3">
      <c r="A1932" s="20"/>
      <c r="E1932" s="20"/>
    </row>
    <row r="1933" spans="1:5" x14ac:dyDescent="0.3">
      <c r="A1933" s="20"/>
      <c r="E1933" s="20"/>
    </row>
    <row r="1934" spans="1:5" x14ac:dyDescent="0.3">
      <c r="A1934" s="20"/>
      <c r="E1934" s="20"/>
    </row>
    <row r="1935" spans="1:5" x14ac:dyDescent="0.3">
      <c r="A1935" s="20"/>
      <c r="E1935" s="20"/>
    </row>
    <row r="1936" spans="1:5" x14ac:dyDescent="0.3">
      <c r="A1936" s="20"/>
      <c r="E1936" s="20"/>
    </row>
    <row r="1937" spans="1:5" x14ac:dyDescent="0.3">
      <c r="A1937" s="20"/>
      <c r="E1937" s="20"/>
    </row>
    <row r="1938" spans="1:5" x14ac:dyDescent="0.3">
      <c r="A1938" s="20"/>
      <c r="E1938" s="20"/>
    </row>
    <row r="1939" spans="1:5" x14ac:dyDescent="0.3">
      <c r="A1939" s="20"/>
      <c r="E1939" s="20"/>
    </row>
    <row r="1940" spans="1:5" x14ac:dyDescent="0.3">
      <c r="A1940" s="20"/>
      <c r="E1940" s="20"/>
    </row>
    <row r="1941" spans="1:5" x14ac:dyDescent="0.3">
      <c r="A1941" s="20"/>
      <c r="E1941" s="20"/>
    </row>
    <row r="1942" spans="1:5" x14ac:dyDescent="0.3">
      <c r="A1942" s="20"/>
      <c r="E1942" s="20"/>
    </row>
    <row r="1943" spans="1:5" x14ac:dyDescent="0.3">
      <c r="A1943" s="20"/>
      <c r="E1943" s="20"/>
    </row>
    <row r="1944" spans="1:5" x14ac:dyDescent="0.3">
      <c r="A1944" s="20"/>
      <c r="E1944" s="20"/>
    </row>
    <row r="1945" spans="1:5" x14ac:dyDescent="0.3">
      <c r="A1945" s="20"/>
      <c r="E1945" s="20"/>
    </row>
    <row r="1946" spans="1:5" x14ac:dyDescent="0.3">
      <c r="A1946" s="20"/>
      <c r="E1946" s="20"/>
    </row>
    <row r="1947" spans="1:5" x14ac:dyDescent="0.3">
      <c r="A1947" s="20"/>
      <c r="E1947" s="20"/>
    </row>
    <row r="1948" spans="1:5" x14ac:dyDescent="0.3">
      <c r="A1948" s="20"/>
      <c r="E1948" s="20"/>
    </row>
    <row r="1949" spans="1:5" x14ac:dyDescent="0.3">
      <c r="A1949" s="20"/>
      <c r="E1949" s="20"/>
    </row>
    <row r="1950" spans="1:5" x14ac:dyDescent="0.3">
      <c r="A1950" s="20"/>
      <c r="E1950" s="20"/>
    </row>
    <row r="1951" spans="1:5" x14ac:dyDescent="0.3">
      <c r="A1951" s="20"/>
      <c r="E1951" s="20"/>
    </row>
    <row r="1952" spans="1:5" x14ac:dyDescent="0.3">
      <c r="A1952" s="20"/>
      <c r="E1952" s="20"/>
    </row>
    <row r="1953" spans="1:5" x14ac:dyDescent="0.3">
      <c r="A1953" s="20"/>
      <c r="E1953" s="20"/>
    </row>
    <row r="1954" spans="1:5" x14ac:dyDescent="0.3">
      <c r="A1954" s="20"/>
      <c r="E1954" s="20"/>
    </row>
    <row r="1955" spans="1:5" x14ac:dyDescent="0.3">
      <c r="A1955" s="20"/>
      <c r="E1955" s="20"/>
    </row>
    <row r="1956" spans="1:5" x14ac:dyDescent="0.3">
      <c r="A1956" s="20"/>
      <c r="E1956" s="20"/>
    </row>
    <row r="1957" spans="1:5" x14ac:dyDescent="0.3">
      <c r="A1957" s="20"/>
      <c r="E1957" s="20"/>
    </row>
    <row r="1958" spans="1:5" x14ac:dyDescent="0.3">
      <c r="A1958" s="20"/>
      <c r="E1958" s="20"/>
    </row>
    <row r="1959" spans="1:5" x14ac:dyDescent="0.3">
      <c r="A1959" s="20"/>
      <c r="E1959" s="20"/>
    </row>
    <row r="1960" spans="1:5" x14ac:dyDescent="0.3">
      <c r="A1960" s="20"/>
      <c r="E1960" s="20"/>
    </row>
    <row r="1961" spans="1:5" x14ac:dyDescent="0.3">
      <c r="A1961" s="20"/>
      <c r="E1961" s="20"/>
    </row>
    <row r="1962" spans="1:5" x14ac:dyDescent="0.3">
      <c r="A1962" s="20"/>
      <c r="E1962" s="20"/>
    </row>
    <row r="1963" spans="1:5" x14ac:dyDescent="0.3">
      <c r="A1963" s="20"/>
      <c r="E1963" s="20"/>
    </row>
    <row r="1964" spans="1:5" x14ac:dyDescent="0.3">
      <c r="A1964" s="20"/>
      <c r="E1964" s="20"/>
    </row>
    <row r="1965" spans="1:5" x14ac:dyDescent="0.3">
      <c r="A1965" s="20"/>
      <c r="E1965" s="20"/>
    </row>
    <row r="1966" spans="1:5" x14ac:dyDescent="0.3">
      <c r="A1966" s="20"/>
      <c r="E1966" s="20"/>
    </row>
    <row r="1967" spans="1:5" x14ac:dyDescent="0.3">
      <c r="A1967" s="20"/>
      <c r="E1967" s="20"/>
    </row>
    <row r="1968" spans="1:5" x14ac:dyDescent="0.3">
      <c r="A1968" s="20"/>
      <c r="E1968" s="20"/>
    </row>
    <row r="1969" spans="1:5" x14ac:dyDescent="0.3">
      <c r="A1969" s="20"/>
      <c r="E1969" s="20"/>
    </row>
    <row r="1970" spans="1:5" x14ac:dyDescent="0.3">
      <c r="A1970" s="20"/>
      <c r="E1970" s="20"/>
    </row>
    <row r="1971" spans="1:5" x14ac:dyDescent="0.3">
      <c r="A1971" s="20"/>
      <c r="E1971" s="20"/>
    </row>
    <row r="1972" spans="1:5" x14ac:dyDescent="0.3">
      <c r="A1972" s="20"/>
      <c r="E1972" s="20"/>
    </row>
    <row r="1973" spans="1:5" x14ac:dyDescent="0.3">
      <c r="A1973" s="20"/>
      <c r="E1973" s="20"/>
    </row>
    <row r="1974" spans="1:5" x14ac:dyDescent="0.3">
      <c r="A1974" s="20"/>
      <c r="E1974" s="20"/>
    </row>
    <row r="1975" spans="1:5" x14ac:dyDescent="0.3">
      <c r="A1975" s="20"/>
      <c r="E1975" s="20"/>
    </row>
    <row r="1976" spans="1:5" x14ac:dyDescent="0.3">
      <c r="A1976" s="20"/>
      <c r="E1976" s="20"/>
    </row>
    <row r="1977" spans="1:5" x14ac:dyDescent="0.3">
      <c r="A1977" s="20"/>
      <c r="E1977" s="20"/>
    </row>
    <row r="1978" spans="1:5" x14ac:dyDescent="0.3">
      <c r="A1978" s="20"/>
      <c r="E1978" s="20"/>
    </row>
    <row r="1979" spans="1:5" x14ac:dyDescent="0.3">
      <c r="A1979" s="20"/>
      <c r="E1979" s="20"/>
    </row>
    <row r="1980" spans="1:5" x14ac:dyDescent="0.3">
      <c r="A1980" s="20"/>
      <c r="E1980" s="20"/>
    </row>
    <row r="1981" spans="1:5" x14ac:dyDescent="0.3">
      <c r="A1981" s="20"/>
      <c r="E1981" s="20"/>
    </row>
    <row r="1982" spans="1:5" x14ac:dyDescent="0.3">
      <c r="A1982" s="20"/>
      <c r="E1982" s="20"/>
    </row>
    <row r="1983" spans="1:5" x14ac:dyDescent="0.3">
      <c r="A1983" s="20"/>
      <c r="E1983" s="20"/>
    </row>
    <row r="1984" spans="1:5" x14ac:dyDescent="0.3">
      <c r="A1984" s="20"/>
      <c r="E1984" s="20"/>
    </row>
    <row r="1985" spans="1:5" x14ac:dyDescent="0.3">
      <c r="A1985" s="20"/>
      <c r="E1985" s="20"/>
    </row>
    <row r="1986" spans="1:5" x14ac:dyDescent="0.3">
      <c r="A1986" s="20"/>
      <c r="E1986" s="20"/>
    </row>
    <row r="1987" spans="1:5" x14ac:dyDescent="0.3">
      <c r="A1987" s="20"/>
      <c r="E1987" s="20"/>
    </row>
    <row r="1988" spans="1:5" x14ac:dyDescent="0.3">
      <c r="A1988" s="20"/>
      <c r="E1988" s="20"/>
    </row>
    <row r="1989" spans="1:5" x14ac:dyDescent="0.3">
      <c r="A1989" s="20"/>
      <c r="E1989" s="20"/>
    </row>
    <row r="1990" spans="1:5" x14ac:dyDescent="0.3">
      <c r="A1990" s="20"/>
      <c r="E1990" s="20"/>
    </row>
    <row r="1991" spans="1:5" x14ac:dyDescent="0.3">
      <c r="A1991" s="20"/>
      <c r="E1991" s="20"/>
    </row>
    <row r="1992" spans="1:5" x14ac:dyDescent="0.3">
      <c r="A1992" s="20"/>
      <c r="E1992" s="20"/>
    </row>
    <row r="1993" spans="1:5" x14ac:dyDescent="0.3">
      <c r="A1993" s="20"/>
      <c r="E1993" s="20"/>
    </row>
    <row r="1994" spans="1:5" x14ac:dyDescent="0.3">
      <c r="A1994" s="20"/>
      <c r="E1994" s="20"/>
    </row>
    <row r="1995" spans="1:5" x14ac:dyDescent="0.3">
      <c r="A1995" s="20"/>
      <c r="E1995" s="20"/>
    </row>
    <row r="1996" spans="1:5" x14ac:dyDescent="0.3">
      <c r="A1996" s="20"/>
      <c r="E1996" s="20"/>
    </row>
    <row r="1997" spans="1:5" x14ac:dyDescent="0.3">
      <c r="A1997" s="20"/>
      <c r="E1997" s="20"/>
    </row>
    <row r="1998" spans="1:5" x14ac:dyDescent="0.3">
      <c r="A1998" s="20"/>
      <c r="E1998" s="20"/>
    </row>
    <row r="1999" spans="1:5" x14ac:dyDescent="0.3">
      <c r="A1999" s="20"/>
      <c r="E1999" s="20"/>
    </row>
    <row r="2000" spans="1:5" x14ac:dyDescent="0.3">
      <c r="A2000" s="20"/>
      <c r="E2000" s="20"/>
    </row>
    <row r="2001" spans="1:5" x14ac:dyDescent="0.3">
      <c r="A2001" s="20"/>
      <c r="E2001" s="20"/>
    </row>
    <row r="2002" spans="1:5" x14ac:dyDescent="0.3">
      <c r="A2002" s="20"/>
      <c r="E2002" s="20"/>
    </row>
    <row r="2003" spans="1:5" x14ac:dyDescent="0.3">
      <c r="A2003" s="20"/>
      <c r="E2003" s="20"/>
    </row>
    <row r="2004" spans="1:5" x14ac:dyDescent="0.3">
      <c r="A2004" s="20"/>
      <c r="E2004" s="20"/>
    </row>
    <row r="2005" spans="1:5" x14ac:dyDescent="0.3">
      <c r="A2005" s="20"/>
      <c r="E2005" s="20"/>
    </row>
    <row r="2006" spans="1:5" x14ac:dyDescent="0.3">
      <c r="A2006" s="20"/>
      <c r="E2006" s="20"/>
    </row>
    <row r="2007" spans="1:5" x14ac:dyDescent="0.3">
      <c r="A2007" s="20"/>
      <c r="E2007" s="20"/>
    </row>
    <row r="2008" spans="1:5" x14ac:dyDescent="0.3">
      <c r="A2008" s="20"/>
      <c r="E2008" s="20"/>
    </row>
    <row r="2009" spans="1:5" x14ac:dyDescent="0.3">
      <c r="A2009" s="20"/>
      <c r="E2009" s="20"/>
    </row>
    <row r="2010" spans="1:5" x14ac:dyDescent="0.3">
      <c r="A2010" s="20"/>
      <c r="E2010" s="20"/>
    </row>
    <row r="2011" spans="1:5" x14ac:dyDescent="0.3">
      <c r="A2011" s="20"/>
      <c r="E2011" s="20"/>
    </row>
    <row r="2012" spans="1:5" x14ac:dyDescent="0.3">
      <c r="A2012" s="20"/>
      <c r="E2012" s="20"/>
    </row>
    <row r="2013" spans="1:5" x14ac:dyDescent="0.3">
      <c r="A2013" s="20"/>
      <c r="E2013" s="20"/>
    </row>
    <row r="2014" spans="1:5" x14ac:dyDescent="0.3">
      <c r="A2014" s="20"/>
      <c r="E2014" s="20"/>
    </row>
    <row r="2015" spans="1:5" x14ac:dyDescent="0.3">
      <c r="A2015" s="20"/>
      <c r="E2015" s="20"/>
    </row>
    <row r="2016" spans="1:5" x14ac:dyDescent="0.3">
      <c r="A2016" s="20"/>
      <c r="E2016" s="20"/>
    </row>
    <row r="2017" spans="1:5" x14ac:dyDescent="0.3">
      <c r="A2017" s="20"/>
      <c r="E2017" s="20"/>
    </row>
    <row r="2018" spans="1:5" x14ac:dyDescent="0.3">
      <c r="A2018" s="20"/>
      <c r="E2018" s="20"/>
    </row>
    <row r="2019" spans="1:5" x14ac:dyDescent="0.3">
      <c r="A2019" s="20"/>
      <c r="E2019" s="20"/>
    </row>
    <row r="2020" spans="1:5" x14ac:dyDescent="0.3">
      <c r="A2020" s="20"/>
      <c r="E2020" s="20"/>
    </row>
    <row r="2021" spans="1:5" x14ac:dyDescent="0.3">
      <c r="A2021" s="20"/>
      <c r="E2021" s="20"/>
    </row>
    <row r="2022" spans="1:5" x14ac:dyDescent="0.3">
      <c r="A2022" s="20"/>
      <c r="E2022" s="20"/>
    </row>
    <row r="2023" spans="1:5" x14ac:dyDescent="0.3">
      <c r="A2023" s="20"/>
      <c r="E2023" s="20"/>
    </row>
    <row r="2024" spans="1:5" x14ac:dyDescent="0.3">
      <c r="A2024" s="20"/>
      <c r="E2024" s="20"/>
    </row>
    <row r="2025" spans="1:5" x14ac:dyDescent="0.3">
      <c r="A2025" s="20"/>
      <c r="E2025" s="20"/>
    </row>
    <row r="2026" spans="1:5" x14ac:dyDescent="0.3">
      <c r="A2026" s="20"/>
      <c r="E2026" s="20"/>
    </row>
    <row r="2027" spans="1:5" x14ac:dyDescent="0.3">
      <c r="A2027" s="20"/>
      <c r="E2027" s="20"/>
    </row>
    <row r="2028" spans="1:5" x14ac:dyDescent="0.3">
      <c r="A2028" s="20"/>
      <c r="E2028" s="20"/>
    </row>
    <row r="2029" spans="1:5" x14ac:dyDescent="0.3">
      <c r="A2029" s="20"/>
      <c r="E2029" s="20"/>
    </row>
    <row r="2030" spans="1:5" x14ac:dyDescent="0.3">
      <c r="A2030" s="20"/>
      <c r="E2030" s="20"/>
    </row>
    <row r="2031" spans="1:5" x14ac:dyDescent="0.3">
      <c r="A2031" s="20"/>
      <c r="E2031" s="20"/>
    </row>
    <row r="2032" spans="1:5" x14ac:dyDescent="0.3">
      <c r="A2032" s="20"/>
      <c r="E2032" s="20"/>
    </row>
    <row r="2033" spans="1:5" x14ac:dyDescent="0.3">
      <c r="A2033" s="20"/>
      <c r="E2033" s="20"/>
    </row>
    <row r="2034" spans="1:5" x14ac:dyDescent="0.3">
      <c r="A2034" s="20"/>
      <c r="E2034" s="20"/>
    </row>
    <row r="2035" spans="1:5" x14ac:dyDescent="0.3">
      <c r="A2035" s="20"/>
      <c r="E2035" s="20"/>
    </row>
    <row r="2036" spans="1:5" x14ac:dyDescent="0.3">
      <c r="A2036" s="20"/>
      <c r="E2036" s="20"/>
    </row>
    <row r="2037" spans="1:5" x14ac:dyDescent="0.3">
      <c r="A2037" s="20"/>
      <c r="E2037" s="20"/>
    </row>
    <row r="2038" spans="1:5" x14ac:dyDescent="0.3">
      <c r="A2038" s="20"/>
      <c r="E2038" s="20"/>
    </row>
    <row r="2039" spans="1:5" x14ac:dyDescent="0.3">
      <c r="A2039" s="20"/>
      <c r="E2039" s="20"/>
    </row>
    <row r="2040" spans="1:5" x14ac:dyDescent="0.3">
      <c r="A2040" s="20"/>
      <c r="E2040" s="20"/>
    </row>
    <row r="2041" spans="1:5" x14ac:dyDescent="0.3">
      <c r="A2041" s="20"/>
      <c r="E2041" s="20"/>
    </row>
    <row r="2042" spans="1:5" x14ac:dyDescent="0.3">
      <c r="A2042" s="20"/>
      <c r="E2042" s="20"/>
    </row>
    <row r="2043" spans="1:5" x14ac:dyDescent="0.3">
      <c r="A2043" s="20"/>
      <c r="E2043" s="20"/>
    </row>
    <row r="2044" spans="1:5" x14ac:dyDescent="0.3">
      <c r="A2044" s="20"/>
      <c r="E2044" s="20"/>
    </row>
    <row r="2045" spans="1:5" x14ac:dyDescent="0.3">
      <c r="A2045" s="20"/>
      <c r="E2045" s="20"/>
    </row>
    <row r="2046" spans="1:5" x14ac:dyDescent="0.3">
      <c r="A2046" s="20"/>
      <c r="E2046" s="20"/>
    </row>
    <row r="2047" spans="1:5" x14ac:dyDescent="0.3">
      <c r="A2047" s="20"/>
      <c r="E2047" s="20"/>
    </row>
    <row r="2048" spans="1:5" x14ac:dyDescent="0.3">
      <c r="A2048" s="20"/>
      <c r="E2048" s="20"/>
    </row>
    <row r="2049" spans="1:5" x14ac:dyDescent="0.3">
      <c r="A2049" s="20"/>
      <c r="E2049" s="20"/>
    </row>
    <row r="2050" spans="1:5" x14ac:dyDescent="0.3">
      <c r="A2050" s="20"/>
      <c r="E2050" s="20"/>
    </row>
    <row r="2051" spans="1:5" x14ac:dyDescent="0.3">
      <c r="A2051" s="20"/>
      <c r="E2051" s="20"/>
    </row>
    <row r="2052" spans="1:5" x14ac:dyDescent="0.3">
      <c r="A2052" s="20"/>
      <c r="E2052" s="20"/>
    </row>
    <row r="2053" spans="1:5" x14ac:dyDescent="0.3">
      <c r="A2053" s="20"/>
      <c r="E2053" s="20"/>
    </row>
    <row r="2054" spans="1:5" x14ac:dyDescent="0.3">
      <c r="A2054" s="20"/>
      <c r="E2054" s="20"/>
    </row>
    <row r="2055" spans="1:5" x14ac:dyDescent="0.3">
      <c r="A2055" s="20"/>
      <c r="E2055" s="20"/>
    </row>
    <row r="2056" spans="1:5" x14ac:dyDescent="0.3">
      <c r="A2056" s="20"/>
      <c r="E2056" s="20"/>
    </row>
    <row r="2057" spans="1:5" x14ac:dyDescent="0.3">
      <c r="A2057" s="20"/>
      <c r="E2057" s="20"/>
    </row>
    <row r="2058" spans="1:5" x14ac:dyDescent="0.3">
      <c r="A2058" s="20"/>
      <c r="E2058" s="20"/>
    </row>
    <row r="2059" spans="1:5" x14ac:dyDescent="0.3">
      <c r="A2059" s="20"/>
      <c r="E2059" s="20"/>
    </row>
    <row r="2060" spans="1:5" x14ac:dyDescent="0.3">
      <c r="A2060" s="20"/>
      <c r="E2060" s="20"/>
    </row>
    <row r="2061" spans="1:5" x14ac:dyDescent="0.3">
      <c r="A2061" s="20"/>
      <c r="E2061" s="20"/>
    </row>
    <row r="2062" spans="1:5" x14ac:dyDescent="0.3">
      <c r="A2062" s="20"/>
      <c r="E2062" s="20"/>
    </row>
    <row r="2063" spans="1:5" x14ac:dyDescent="0.3">
      <c r="A2063" s="20"/>
      <c r="E2063" s="20"/>
    </row>
    <row r="2064" spans="1:5" x14ac:dyDescent="0.3">
      <c r="A2064" s="20"/>
      <c r="E2064" s="20"/>
    </row>
    <row r="2065" spans="1:5" x14ac:dyDescent="0.3">
      <c r="A2065" s="20"/>
      <c r="E2065" s="20"/>
    </row>
    <row r="2066" spans="1:5" x14ac:dyDescent="0.3">
      <c r="A2066" s="20"/>
      <c r="E2066" s="20"/>
    </row>
    <row r="2067" spans="1:5" x14ac:dyDescent="0.3">
      <c r="A2067" s="20"/>
      <c r="E2067" s="20"/>
    </row>
    <row r="2068" spans="1:5" x14ac:dyDescent="0.3">
      <c r="A2068" s="20"/>
      <c r="E2068" s="20"/>
    </row>
    <row r="2069" spans="1:5" x14ac:dyDescent="0.3">
      <c r="A2069" s="20"/>
      <c r="E2069" s="20"/>
    </row>
    <row r="2070" spans="1:5" x14ac:dyDescent="0.3">
      <c r="A2070" s="20"/>
      <c r="E2070" s="20"/>
    </row>
    <row r="2071" spans="1:5" x14ac:dyDescent="0.3">
      <c r="A2071" s="20"/>
      <c r="E2071" s="20"/>
    </row>
    <row r="2072" spans="1:5" x14ac:dyDescent="0.3">
      <c r="A2072" s="20"/>
      <c r="E2072" s="20"/>
    </row>
    <row r="2073" spans="1:5" x14ac:dyDescent="0.3">
      <c r="A2073" s="20"/>
      <c r="E2073" s="20"/>
    </row>
    <row r="2074" spans="1:5" x14ac:dyDescent="0.3">
      <c r="A2074" s="20"/>
      <c r="E2074" s="20"/>
    </row>
    <row r="2075" spans="1:5" x14ac:dyDescent="0.3">
      <c r="A2075" s="20"/>
      <c r="E2075" s="20"/>
    </row>
    <row r="2076" spans="1:5" x14ac:dyDescent="0.3">
      <c r="A2076" s="20"/>
      <c r="E2076" s="20"/>
    </row>
    <row r="2077" spans="1:5" x14ac:dyDescent="0.3">
      <c r="A2077" s="20"/>
      <c r="E2077" s="20"/>
    </row>
    <row r="2078" spans="1:5" x14ac:dyDescent="0.3">
      <c r="A2078" s="20"/>
      <c r="E2078" s="20"/>
    </row>
    <row r="2079" spans="1:5" x14ac:dyDescent="0.3">
      <c r="A2079" s="20"/>
      <c r="E2079" s="20"/>
    </row>
    <row r="2080" spans="1:5" x14ac:dyDescent="0.3">
      <c r="A2080" s="20"/>
      <c r="E2080" s="20"/>
    </row>
    <row r="2081" spans="1:5" x14ac:dyDescent="0.3">
      <c r="A2081" s="20"/>
      <c r="E2081" s="20"/>
    </row>
    <row r="2082" spans="1:5" x14ac:dyDescent="0.3">
      <c r="A2082" s="20"/>
      <c r="E2082" s="20"/>
    </row>
    <row r="2083" spans="1:5" x14ac:dyDescent="0.3">
      <c r="A2083" s="20"/>
      <c r="E2083" s="20"/>
    </row>
    <row r="2084" spans="1:5" x14ac:dyDescent="0.3">
      <c r="A2084" s="20"/>
      <c r="E2084" s="20"/>
    </row>
    <row r="2085" spans="1:5" x14ac:dyDescent="0.3">
      <c r="A2085" s="20"/>
      <c r="E2085" s="20"/>
    </row>
    <row r="2086" spans="1:5" x14ac:dyDescent="0.3">
      <c r="A2086" s="20"/>
      <c r="E2086" s="20"/>
    </row>
    <row r="2087" spans="1:5" x14ac:dyDescent="0.3">
      <c r="A2087" s="20"/>
      <c r="E2087" s="20"/>
    </row>
    <row r="2088" spans="1:5" x14ac:dyDescent="0.3">
      <c r="A2088" s="20"/>
      <c r="E2088" s="20"/>
    </row>
    <row r="2089" spans="1:5" x14ac:dyDescent="0.3">
      <c r="A2089" s="20"/>
      <c r="E2089" s="20"/>
    </row>
    <row r="2090" spans="1:5" x14ac:dyDescent="0.3">
      <c r="A2090" s="20"/>
      <c r="E2090" s="20"/>
    </row>
    <row r="2091" spans="1:5" x14ac:dyDescent="0.3">
      <c r="A2091" s="20"/>
      <c r="E2091" s="20"/>
    </row>
    <row r="2092" spans="1:5" x14ac:dyDescent="0.3">
      <c r="A2092" s="20"/>
      <c r="E2092" s="20"/>
    </row>
    <row r="2093" spans="1:5" x14ac:dyDescent="0.3">
      <c r="A2093" s="20"/>
      <c r="E2093" s="20"/>
    </row>
    <row r="2094" spans="1:5" x14ac:dyDescent="0.3">
      <c r="A2094" s="20"/>
      <c r="E2094" s="20"/>
    </row>
    <row r="2095" spans="1:5" x14ac:dyDescent="0.3">
      <c r="A2095" s="20"/>
      <c r="E2095" s="20"/>
    </row>
    <row r="2096" spans="1:5" x14ac:dyDescent="0.3">
      <c r="A2096" s="20"/>
      <c r="E2096" s="20"/>
    </row>
    <row r="2097" spans="1:5" x14ac:dyDescent="0.3">
      <c r="A2097" s="20"/>
      <c r="E2097" s="20"/>
    </row>
    <row r="2098" spans="1:5" x14ac:dyDescent="0.3">
      <c r="A2098" s="20"/>
      <c r="E2098" s="20"/>
    </row>
    <row r="2099" spans="1:5" x14ac:dyDescent="0.3">
      <c r="A2099" s="20"/>
      <c r="E2099" s="20"/>
    </row>
    <row r="2100" spans="1:5" x14ac:dyDescent="0.3">
      <c r="A2100" s="20"/>
      <c r="E2100" s="20"/>
    </row>
    <row r="2101" spans="1:5" x14ac:dyDescent="0.3">
      <c r="A2101" s="20"/>
      <c r="E2101" s="20"/>
    </row>
    <row r="2102" spans="1:5" x14ac:dyDescent="0.3">
      <c r="A2102" s="20"/>
      <c r="E2102" s="20"/>
    </row>
    <row r="2103" spans="1:5" x14ac:dyDescent="0.3">
      <c r="A2103" s="20"/>
      <c r="E2103" s="20"/>
    </row>
    <row r="2104" spans="1:5" x14ac:dyDescent="0.3">
      <c r="A2104" s="20"/>
      <c r="E2104" s="20"/>
    </row>
    <row r="2105" spans="1:5" x14ac:dyDescent="0.3">
      <c r="A2105" s="20"/>
      <c r="E2105" s="20"/>
    </row>
    <row r="2106" spans="1:5" x14ac:dyDescent="0.3">
      <c r="A2106" s="20"/>
      <c r="E2106" s="20"/>
    </row>
    <row r="2107" spans="1:5" x14ac:dyDescent="0.3">
      <c r="A2107" s="20"/>
      <c r="E2107" s="20"/>
    </row>
    <row r="2108" spans="1:5" x14ac:dyDescent="0.3">
      <c r="A2108" s="20"/>
      <c r="E2108" s="20"/>
    </row>
    <row r="2109" spans="1:5" x14ac:dyDescent="0.3">
      <c r="A2109" s="20"/>
      <c r="E2109" s="20"/>
    </row>
    <row r="2110" spans="1:5" x14ac:dyDescent="0.3">
      <c r="A2110" s="20"/>
      <c r="E2110" s="20"/>
    </row>
    <row r="2111" spans="1:5" x14ac:dyDescent="0.3">
      <c r="A2111" s="20"/>
      <c r="E2111" s="20"/>
    </row>
    <row r="2112" spans="1:5" x14ac:dyDescent="0.3">
      <c r="A2112" s="20"/>
      <c r="E2112" s="20"/>
    </row>
    <row r="2113" spans="1:5" x14ac:dyDescent="0.3">
      <c r="A2113" s="20"/>
      <c r="E2113" s="20"/>
    </row>
    <row r="2114" spans="1:5" x14ac:dyDescent="0.3">
      <c r="A2114" s="20"/>
      <c r="E2114" s="20"/>
    </row>
    <row r="2115" spans="1:5" x14ac:dyDescent="0.3">
      <c r="A2115" s="20"/>
      <c r="E2115" s="20"/>
    </row>
    <row r="2116" spans="1:5" x14ac:dyDescent="0.3">
      <c r="A2116" s="20"/>
      <c r="E2116" s="20"/>
    </row>
    <row r="2117" spans="1:5" x14ac:dyDescent="0.3">
      <c r="A2117" s="20"/>
      <c r="E2117" s="20"/>
    </row>
    <row r="2118" spans="1:5" x14ac:dyDescent="0.3">
      <c r="A2118" s="20"/>
      <c r="E2118" s="20"/>
    </row>
    <row r="2119" spans="1:5" x14ac:dyDescent="0.3">
      <c r="A2119" s="20"/>
      <c r="E2119" s="20"/>
    </row>
    <row r="2120" spans="1:5" x14ac:dyDescent="0.3">
      <c r="A2120" s="20"/>
      <c r="E2120" s="20"/>
    </row>
    <row r="2121" spans="1:5" x14ac:dyDescent="0.3">
      <c r="A2121" s="20"/>
      <c r="E2121" s="20"/>
    </row>
    <row r="2122" spans="1:5" x14ac:dyDescent="0.3">
      <c r="A2122" s="20"/>
      <c r="E2122" s="20"/>
    </row>
    <row r="2123" spans="1:5" x14ac:dyDescent="0.3">
      <c r="A2123" s="20"/>
      <c r="E2123" s="20"/>
    </row>
    <row r="2124" spans="1:5" x14ac:dyDescent="0.3">
      <c r="A2124" s="20"/>
      <c r="E2124" s="20"/>
    </row>
    <row r="2125" spans="1:5" x14ac:dyDescent="0.3">
      <c r="A2125" s="20"/>
      <c r="E2125" s="20"/>
    </row>
    <row r="2126" spans="1:5" x14ac:dyDescent="0.3">
      <c r="A2126" s="20"/>
      <c r="E2126" s="20"/>
    </row>
    <row r="2127" spans="1:5" x14ac:dyDescent="0.3">
      <c r="A2127" s="20"/>
      <c r="E2127" s="20"/>
    </row>
    <row r="2128" spans="1:5" x14ac:dyDescent="0.3">
      <c r="A2128" s="20"/>
      <c r="E2128" s="20"/>
    </row>
    <row r="2129" spans="1:5" x14ac:dyDescent="0.3">
      <c r="A2129" s="20"/>
      <c r="E2129" s="20"/>
    </row>
    <row r="2130" spans="1:5" x14ac:dyDescent="0.3">
      <c r="A2130" s="20"/>
      <c r="E2130" s="20"/>
    </row>
    <row r="2131" spans="1:5" x14ac:dyDescent="0.3">
      <c r="A2131" s="20"/>
      <c r="E2131" s="20"/>
    </row>
    <row r="2132" spans="1:5" x14ac:dyDescent="0.3">
      <c r="A2132" s="20"/>
      <c r="E2132" s="20"/>
    </row>
    <row r="2133" spans="1:5" x14ac:dyDescent="0.3">
      <c r="A2133" s="20"/>
      <c r="E2133" s="20"/>
    </row>
    <row r="2134" spans="1:5" x14ac:dyDescent="0.3">
      <c r="A2134" s="20"/>
      <c r="E2134" s="20"/>
    </row>
    <row r="2135" spans="1:5" x14ac:dyDescent="0.3">
      <c r="A2135" s="20"/>
      <c r="E2135" s="20"/>
    </row>
    <row r="2136" spans="1:5" x14ac:dyDescent="0.3">
      <c r="A2136" s="20"/>
      <c r="E2136" s="20"/>
    </row>
    <row r="2137" spans="1:5" x14ac:dyDescent="0.3">
      <c r="A2137" s="20"/>
      <c r="E2137" s="20"/>
    </row>
    <row r="2138" spans="1:5" x14ac:dyDescent="0.3">
      <c r="A2138" s="20"/>
      <c r="E2138" s="20"/>
    </row>
    <row r="2139" spans="1:5" x14ac:dyDescent="0.3">
      <c r="A2139" s="20"/>
      <c r="E2139" s="20"/>
    </row>
    <row r="2140" spans="1:5" x14ac:dyDescent="0.3">
      <c r="A2140" s="20"/>
      <c r="E2140" s="20"/>
    </row>
    <row r="2141" spans="1:5" x14ac:dyDescent="0.3">
      <c r="A2141" s="20"/>
      <c r="E2141" s="20"/>
    </row>
    <row r="2142" spans="1:5" x14ac:dyDescent="0.3">
      <c r="A2142" s="20"/>
      <c r="E2142" s="20"/>
    </row>
    <row r="2143" spans="1:5" x14ac:dyDescent="0.3">
      <c r="A2143" s="20"/>
      <c r="E2143" s="20"/>
    </row>
    <row r="2144" spans="1:5" x14ac:dyDescent="0.3">
      <c r="A2144" s="20"/>
      <c r="E2144" s="20"/>
    </row>
    <row r="2145" spans="1:5" x14ac:dyDescent="0.3">
      <c r="A2145" s="20"/>
      <c r="E2145" s="20"/>
    </row>
    <row r="2146" spans="1:5" x14ac:dyDescent="0.3">
      <c r="A2146" s="20"/>
      <c r="E2146" s="20"/>
    </row>
    <row r="2147" spans="1:5" x14ac:dyDescent="0.3">
      <c r="A2147" s="20"/>
      <c r="E2147" s="20"/>
    </row>
    <row r="2148" spans="1:5" x14ac:dyDescent="0.3">
      <c r="A2148" s="20"/>
      <c r="E2148" s="20"/>
    </row>
    <row r="2149" spans="1:5" x14ac:dyDescent="0.3">
      <c r="A2149" s="20"/>
      <c r="E2149" s="20"/>
    </row>
    <row r="2150" spans="1:5" x14ac:dyDescent="0.3">
      <c r="A2150" s="20"/>
      <c r="E2150" s="20"/>
    </row>
    <row r="2151" spans="1:5" x14ac:dyDescent="0.3">
      <c r="A2151" s="20"/>
      <c r="E2151" s="20"/>
    </row>
    <row r="2152" spans="1:5" x14ac:dyDescent="0.3">
      <c r="A2152" s="20"/>
      <c r="E2152" s="20"/>
    </row>
    <row r="2153" spans="1:5" x14ac:dyDescent="0.3">
      <c r="A2153" s="20"/>
      <c r="E2153" s="20"/>
    </row>
    <row r="2154" spans="1:5" x14ac:dyDescent="0.3">
      <c r="A2154" s="20"/>
      <c r="E2154" s="20"/>
    </row>
    <row r="2155" spans="1:5" x14ac:dyDescent="0.3">
      <c r="A2155" s="20"/>
      <c r="E2155" s="20"/>
    </row>
    <row r="2156" spans="1:5" x14ac:dyDescent="0.3">
      <c r="A2156" s="20"/>
      <c r="E2156" s="20"/>
    </row>
    <row r="2157" spans="1:5" x14ac:dyDescent="0.3">
      <c r="A2157" s="20"/>
      <c r="E2157" s="20"/>
    </row>
    <row r="2158" spans="1:5" x14ac:dyDescent="0.3">
      <c r="A2158" s="20"/>
      <c r="E2158" s="20"/>
    </row>
    <row r="2159" spans="1:5" x14ac:dyDescent="0.3">
      <c r="A2159" s="20"/>
      <c r="E2159" s="20"/>
    </row>
    <row r="2160" spans="1:5" x14ac:dyDescent="0.3">
      <c r="A2160" s="20"/>
      <c r="E2160" s="20"/>
    </row>
    <row r="2161" spans="1:5" x14ac:dyDescent="0.3">
      <c r="A2161" s="20"/>
      <c r="E2161" s="20"/>
    </row>
    <row r="2162" spans="1:5" x14ac:dyDescent="0.3">
      <c r="A2162" s="20"/>
      <c r="E2162" s="20"/>
    </row>
    <row r="2163" spans="1:5" x14ac:dyDescent="0.3">
      <c r="A2163" s="20"/>
      <c r="E2163" s="20"/>
    </row>
    <row r="2164" spans="1:5" x14ac:dyDescent="0.3">
      <c r="A2164" s="20"/>
      <c r="E2164" s="20"/>
    </row>
    <row r="2165" spans="1:5" x14ac:dyDescent="0.3">
      <c r="A2165" s="20"/>
      <c r="E2165" s="20"/>
    </row>
    <row r="2166" spans="1:5" x14ac:dyDescent="0.3">
      <c r="A2166" s="20"/>
      <c r="E2166" s="20"/>
    </row>
    <row r="2167" spans="1:5" x14ac:dyDescent="0.3">
      <c r="A2167" s="20"/>
      <c r="E2167" s="20"/>
    </row>
    <row r="2168" spans="1:5" x14ac:dyDescent="0.3">
      <c r="A2168" s="20"/>
      <c r="E2168" s="20"/>
    </row>
    <row r="2169" spans="1:5" x14ac:dyDescent="0.3">
      <c r="A2169" s="20"/>
      <c r="E2169" s="20"/>
    </row>
    <row r="2170" spans="1:5" x14ac:dyDescent="0.3">
      <c r="A2170" s="20"/>
      <c r="E2170" s="20"/>
    </row>
    <row r="2171" spans="1:5" x14ac:dyDescent="0.3">
      <c r="A2171" s="20"/>
      <c r="E2171" s="20"/>
    </row>
    <row r="2172" spans="1:5" x14ac:dyDescent="0.3">
      <c r="A2172" s="20"/>
      <c r="E2172" s="20"/>
    </row>
    <row r="2173" spans="1:5" x14ac:dyDescent="0.3">
      <c r="A2173" s="20"/>
      <c r="E2173" s="20"/>
    </row>
    <row r="2174" spans="1:5" x14ac:dyDescent="0.3">
      <c r="A2174" s="20"/>
      <c r="E2174" s="20"/>
    </row>
    <row r="2175" spans="1:5" x14ac:dyDescent="0.3">
      <c r="A2175" s="20"/>
      <c r="E2175" s="20"/>
    </row>
    <row r="2176" spans="1:5" x14ac:dyDescent="0.3">
      <c r="A2176" s="20"/>
      <c r="E2176" s="20"/>
    </row>
    <row r="2177" spans="1:5" x14ac:dyDescent="0.3">
      <c r="A2177" s="20"/>
      <c r="E2177" s="20"/>
    </row>
    <row r="2178" spans="1:5" x14ac:dyDescent="0.3">
      <c r="A2178" s="20"/>
      <c r="E2178" s="20"/>
    </row>
    <row r="2179" spans="1:5" x14ac:dyDescent="0.3">
      <c r="A2179" s="20"/>
      <c r="E2179" s="20"/>
    </row>
    <row r="2180" spans="1:5" x14ac:dyDescent="0.3">
      <c r="A2180" s="20"/>
      <c r="E2180" s="20"/>
    </row>
    <row r="2181" spans="1:5" x14ac:dyDescent="0.3">
      <c r="A2181" s="20"/>
      <c r="E2181" s="20"/>
    </row>
    <row r="2182" spans="1:5" x14ac:dyDescent="0.3">
      <c r="A2182" s="20"/>
      <c r="E2182" s="20"/>
    </row>
    <row r="2183" spans="1:5" x14ac:dyDescent="0.3">
      <c r="A2183" s="20"/>
      <c r="E2183" s="20"/>
    </row>
    <row r="2184" spans="1:5" x14ac:dyDescent="0.3">
      <c r="A2184" s="20"/>
      <c r="E2184" s="20"/>
    </row>
    <row r="2185" spans="1:5" x14ac:dyDescent="0.3">
      <c r="A2185" s="20"/>
      <c r="E2185" s="20"/>
    </row>
    <row r="2186" spans="1:5" x14ac:dyDescent="0.3">
      <c r="A2186" s="20"/>
      <c r="E2186" s="20"/>
    </row>
    <row r="2187" spans="1:5" x14ac:dyDescent="0.3">
      <c r="A2187" s="20"/>
      <c r="E2187" s="20"/>
    </row>
    <row r="2188" spans="1:5" x14ac:dyDescent="0.3">
      <c r="A2188" s="20"/>
      <c r="E2188" s="20"/>
    </row>
    <row r="2189" spans="1:5" x14ac:dyDescent="0.3">
      <c r="A2189" s="20"/>
      <c r="E2189" s="20"/>
    </row>
    <row r="2190" spans="1:5" x14ac:dyDescent="0.3">
      <c r="A2190" s="20"/>
      <c r="E2190" s="20"/>
    </row>
    <row r="2191" spans="1:5" x14ac:dyDescent="0.3">
      <c r="A2191" s="20"/>
      <c r="E2191" s="20"/>
    </row>
    <row r="2192" spans="1:5" x14ac:dyDescent="0.3">
      <c r="A2192" s="20"/>
      <c r="E2192" s="20"/>
    </row>
    <row r="2193" spans="1:5" x14ac:dyDescent="0.3">
      <c r="A2193" s="20"/>
      <c r="E2193" s="20"/>
    </row>
    <row r="2194" spans="1:5" x14ac:dyDescent="0.3">
      <c r="A2194" s="20"/>
      <c r="E2194" s="20"/>
    </row>
    <row r="2195" spans="1:5" x14ac:dyDescent="0.3">
      <c r="A2195" s="20"/>
      <c r="E2195" s="20"/>
    </row>
    <row r="2196" spans="1:5" x14ac:dyDescent="0.3">
      <c r="A2196" s="20"/>
      <c r="E2196" s="20"/>
    </row>
    <row r="2197" spans="1:5" x14ac:dyDescent="0.3">
      <c r="A2197" s="20"/>
      <c r="E2197" s="20"/>
    </row>
    <row r="2198" spans="1:5" x14ac:dyDescent="0.3">
      <c r="A2198" s="20"/>
      <c r="E2198" s="20"/>
    </row>
    <row r="2199" spans="1:5" x14ac:dyDescent="0.3">
      <c r="A2199" s="20"/>
      <c r="E2199" s="20"/>
    </row>
    <row r="2200" spans="1:5" x14ac:dyDescent="0.3">
      <c r="A2200" s="20"/>
      <c r="E2200" s="20"/>
    </row>
    <row r="2201" spans="1:5" x14ac:dyDescent="0.3">
      <c r="A2201" s="20"/>
      <c r="E2201" s="20"/>
    </row>
    <row r="2202" spans="1:5" x14ac:dyDescent="0.3">
      <c r="A2202" s="20"/>
      <c r="E2202" s="20"/>
    </row>
    <row r="2203" spans="1:5" x14ac:dyDescent="0.3">
      <c r="A2203" s="20"/>
      <c r="E2203" s="20"/>
    </row>
    <row r="2204" spans="1:5" x14ac:dyDescent="0.3">
      <c r="A2204" s="20"/>
      <c r="E2204" s="20"/>
    </row>
    <row r="2205" spans="1:5" x14ac:dyDescent="0.3">
      <c r="A2205" s="20"/>
      <c r="E2205" s="20"/>
    </row>
    <row r="2206" spans="1:5" x14ac:dyDescent="0.3">
      <c r="A2206" s="20"/>
      <c r="E2206" s="20"/>
    </row>
    <row r="2207" spans="1:5" x14ac:dyDescent="0.3">
      <c r="A2207" s="20"/>
      <c r="E2207" s="20"/>
    </row>
    <row r="2208" spans="1:5" x14ac:dyDescent="0.3">
      <c r="A2208" s="20"/>
      <c r="E2208" s="20"/>
    </row>
    <row r="2209" spans="1:5" x14ac:dyDescent="0.3">
      <c r="A2209" s="20"/>
      <c r="E2209" s="20"/>
    </row>
    <row r="2210" spans="1:5" x14ac:dyDescent="0.3">
      <c r="A2210" s="20"/>
      <c r="E2210" s="20"/>
    </row>
    <row r="2211" spans="1:5" x14ac:dyDescent="0.3">
      <c r="A2211" s="20"/>
      <c r="E2211" s="20"/>
    </row>
    <row r="2212" spans="1:5" x14ac:dyDescent="0.3">
      <c r="A2212" s="20"/>
      <c r="E2212" s="20"/>
    </row>
    <row r="2213" spans="1:5" x14ac:dyDescent="0.3">
      <c r="A2213" s="20"/>
      <c r="E2213" s="20"/>
    </row>
    <row r="2214" spans="1:5" x14ac:dyDescent="0.3">
      <c r="A2214" s="20"/>
      <c r="E2214" s="20"/>
    </row>
    <row r="2215" spans="1:5" x14ac:dyDescent="0.3">
      <c r="A2215" s="20"/>
      <c r="E2215" s="20"/>
    </row>
    <row r="2216" spans="1:5" x14ac:dyDescent="0.3">
      <c r="A2216" s="20"/>
      <c r="E2216" s="20"/>
    </row>
    <row r="2217" spans="1:5" x14ac:dyDescent="0.3">
      <c r="A2217" s="20"/>
      <c r="E2217" s="20"/>
    </row>
    <row r="2218" spans="1:5" x14ac:dyDescent="0.3">
      <c r="A2218" s="20"/>
      <c r="E2218" s="20"/>
    </row>
    <row r="2219" spans="1:5" x14ac:dyDescent="0.3">
      <c r="A2219" s="20"/>
      <c r="E2219" s="20"/>
    </row>
    <row r="2220" spans="1:5" x14ac:dyDescent="0.3">
      <c r="A2220" s="20"/>
      <c r="E2220" s="20"/>
    </row>
    <row r="2221" spans="1:5" x14ac:dyDescent="0.3">
      <c r="A2221" s="20"/>
      <c r="E2221" s="20"/>
    </row>
    <row r="2222" spans="1:5" x14ac:dyDescent="0.3">
      <c r="A2222" s="20"/>
      <c r="E2222" s="20"/>
    </row>
    <row r="2223" spans="1:5" x14ac:dyDescent="0.3">
      <c r="A2223" s="20"/>
      <c r="E2223" s="20"/>
    </row>
    <row r="2224" spans="1:5" x14ac:dyDescent="0.3">
      <c r="A2224" s="20"/>
      <c r="E2224" s="20"/>
    </row>
    <row r="2225" spans="1:5" x14ac:dyDescent="0.3">
      <c r="A2225" s="20"/>
      <c r="E2225" s="20"/>
    </row>
    <row r="2226" spans="1:5" x14ac:dyDescent="0.3">
      <c r="A2226" s="20"/>
      <c r="E2226" s="20"/>
    </row>
    <row r="2227" spans="1:5" x14ac:dyDescent="0.3">
      <c r="A2227" s="20"/>
      <c r="E2227" s="20"/>
    </row>
    <row r="2228" spans="1:5" x14ac:dyDescent="0.3">
      <c r="A2228" s="20"/>
      <c r="E2228" s="20"/>
    </row>
    <row r="2229" spans="1:5" x14ac:dyDescent="0.3">
      <c r="A2229" s="20"/>
      <c r="E2229" s="20"/>
    </row>
    <row r="2230" spans="1:5" x14ac:dyDescent="0.3">
      <c r="A2230" s="20"/>
      <c r="E2230" s="20"/>
    </row>
    <row r="2231" spans="1:5" x14ac:dyDescent="0.3">
      <c r="A2231" s="20"/>
      <c r="E2231" s="20"/>
    </row>
    <row r="2232" spans="1:5" x14ac:dyDescent="0.3">
      <c r="A2232" s="20"/>
      <c r="E2232" s="20"/>
    </row>
    <row r="2233" spans="1:5" x14ac:dyDescent="0.3">
      <c r="A2233" s="20"/>
      <c r="E2233" s="20"/>
    </row>
    <row r="2234" spans="1:5" x14ac:dyDescent="0.3">
      <c r="A2234" s="20"/>
      <c r="E2234" s="20"/>
    </row>
    <row r="2235" spans="1:5" x14ac:dyDescent="0.3">
      <c r="A2235" s="20"/>
      <c r="E2235" s="20"/>
    </row>
    <row r="2236" spans="1:5" x14ac:dyDescent="0.3">
      <c r="A2236" s="20"/>
      <c r="E2236" s="20"/>
    </row>
    <row r="2237" spans="1:5" x14ac:dyDescent="0.3">
      <c r="A2237" s="20"/>
      <c r="E2237" s="20"/>
    </row>
    <row r="2238" spans="1:5" x14ac:dyDescent="0.3">
      <c r="A2238" s="20"/>
      <c r="E2238" s="20"/>
    </row>
    <row r="2239" spans="1:5" x14ac:dyDescent="0.3">
      <c r="A2239" s="20"/>
      <c r="E2239" s="20"/>
    </row>
    <row r="2240" spans="1:5" x14ac:dyDescent="0.3">
      <c r="A2240" s="20"/>
      <c r="E2240" s="20"/>
    </row>
    <row r="2241" spans="1:5" x14ac:dyDescent="0.3">
      <c r="A2241" s="20"/>
      <c r="E2241" s="20"/>
    </row>
    <row r="2242" spans="1:5" x14ac:dyDescent="0.3">
      <c r="A2242" s="20"/>
      <c r="E2242" s="20"/>
    </row>
    <row r="2243" spans="1:5" x14ac:dyDescent="0.3">
      <c r="A2243" s="20"/>
      <c r="E2243" s="20"/>
    </row>
    <row r="2244" spans="1:5" x14ac:dyDescent="0.3">
      <c r="A2244" s="20"/>
      <c r="E2244" s="20"/>
    </row>
    <row r="2245" spans="1:5" x14ac:dyDescent="0.3">
      <c r="A2245" s="20"/>
      <c r="E2245" s="20"/>
    </row>
    <row r="2246" spans="1:5" x14ac:dyDescent="0.3">
      <c r="A2246" s="20"/>
      <c r="E2246" s="20"/>
    </row>
    <row r="2247" spans="1:5" x14ac:dyDescent="0.3">
      <c r="A2247" s="20"/>
      <c r="E2247" s="20"/>
    </row>
    <row r="2248" spans="1:5" x14ac:dyDescent="0.3">
      <c r="A2248" s="20"/>
      <c r="E2248" s="20"/>
    </row>
    <row r="2249" spans="1:5" x14ac:dyDescent="0.3">
      <c r="A2249" s="20"/>
      <c r="E2249" s="20"/>
    </row>
    <row r="2250" spans="1:5" x14ac:dyDescent="0.3">
      <c r="A2250" s="20"/>
      <c r="E2250" s="20"/>
    </row>
    <row r="2251" spans="1:5" x14ac:dyDescent="0.3">
      <c r="A2251" s="20"/>
      <c r="E2251" s="20"/>
    </row>
    <row r="2252" spans="1:5" x14ac:dyDescent="0.3">
      <c r="A2252" s="20"/>
      <c r="E2252" s="20"/>
    </row>
    <row r="2253" spans="1:5" x14ac:dyDescent="0.3">
      <c r="A2253" s="20"/>
      <c r="E2253" s="20"/>
    </row>
    <row r="2254" spans="1:5" x14ac:dyDescent="0.3">
      <c r="A2254" s="20"/>
      <c r="E2254" s="20"/>
    </row>
    <row r="2255" spans="1:5" x14ac:dyDescent="0.3">
      <c r="A2255" s="20"/>
      <c r="E2255" s="20"/>
    </row>
    <row r="2256" spans="1:5" x14ac:dyDescent="0.3">
      <c r="A2256" s="20"/>
      <c r="E2256" s="20"/>
    </row>
    <row r="2257" spans="1:5" x14ac:dyDescent="0.3">
      <c r="A2257" s="20"/>
      <c r="E2257" s="20"/>
    </row>
    <row r="2258" spans="1:5" x14ac:dyDescent="0.3">
      <c r="A2258" s="20"/>
      <c r="E2258" s="20"/>
    </row>
    <row r="2259" spans="1:5" x14ac:dyDescent="0.3">
      <c r="A2259" s="20"/>
      <c r="E2259" s="20"/>
    </row>
    <row r="2260" spans="1:5" x14ac:dyDescent="0.3">
      <c r="A2260" s="20"/>
      <c r="E2260" s="20"/>
    </row>
    <row r="2261" spans="1:5" x14ac:dyDescent="0.3">
      <c r="A2261" s="20"/>
      <c r="E2261" s="20"/>
    </row>
    <row r="2262" spans="1:5" x14ac:dyDescent="0.3">
      <c r="A2262" s="20"/>
      <c r="E2262" s="20"/>
    </row>
    <row r="2263" spans="1:5" x14ac:dyDescent="0.3">
      <c r="A2263" s="20"/>
      <c r="E2263" s="20"/>
    </row>
    <row r="2264" spans="1:5" x14ac:dyDescent="0.3">
      <c r="A2264" s="20"/>
      <c r="E2264" s="20"/>
    </row>
    <row r="2265" spans="1:5" x14ac:dyDescent="0.3">
      <c r="A2265" s="20"/>
      <c r="E2265" s="20"/>
    </row>
    <row r="2266" spans="1:5" x14ac:dyDescent="0.3">
      <c r="A2266" s="20"/>
      <c r="E2266" s="20"/>
    </row>
    <row r="2267" spans="1:5" x14ac:dyDescent="0.3">
      <c r="A2267" s="20"/>
      <c r="E2267" s="20"/>
    </row>
    <row r="2268" spans="1:5" x14ac:dyDescent="0.3">
      <c r="A2268" s="20"/>
      <c r="E2268" s="20"/>
    </row>
    <row r="2269" spans="1:5" x14ac:dyDescent="0.3">
      <c r="A2269" s="20"/>
      <c r="E2269" s="20"/>
    </row>
    <row r="2270" spans="1:5" x14ac:dyDescent="0.3">
      <c r="A2270" s="20"/>
      <c r="E2270" s="20"/>
    </row>
    <row r="2271" spans="1:5" x14ac:dyDescent="0.3">
      <c r="A2271" s="20"/>
      <c r="E2271" s="20"/>
    </row>
    <row r="2272" spans="1:5" x14ac:dyDescent="0.3">
      <c r="A2272" s="20"/>
      <c r="E2272" s="20"/>
    </row>
  </sheetData>
  <mergeCells count="6">
    <mergeCell ref="A1:J1"/>
    <mergeCell ref="I10:J10"/>
    <mergeCell ref="E2:G2"/>
    <mergeCell ref="I3:J3"/>
    <mergeCell ref="I4:J5"/>
    <mergeCell ref="A2:C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A7DD4-B1AD-4C19-8806-BCAFA5AFA162}">
  <dimension ref="A1:K27"/>
  <sheetViews>
    <sheetView workbookViewId="0">
      <selection activeCell="J28" sqref="J28"/>
    </sheetView>
  </sheetViews>
  <sheetFormatPr defaultRowHeight="14.4" x14ac:dyDescent="0.3"/>
  <cols>
    <col min="1" max="1" width="34.33203125" bestFit="1" customWidth="1"/>
    <col min="2" max="2" width="12" bestFit="1" customWidth="1"/>
    <col min="3" max="3" width="7" bestFit="1" customWidth="1"/>
    <col min="4" max="4" width="12.88671875" bestFit="1" customWidth="1"/>
  </cols>
  <sheetData>
    <row r="1" spans="1:11" ht="21" x14ac:dyDescent="0.4">
      <c r="A1" s="272" t="s">
        <v>206</v>
      </c>
      <c r="B1" s="272"/>
      <c r="C1" s="272"/>
      <c r="D1" s="272"/>
      <c r="E1" s="272"/>
      <c r="F1" s="272"/>
      <c r="G1" s="272"/>
      <c r="H1" s="272"/>
      <c r="I1" s="272"/>
      <c r="J1" s="272"/>
      <c r="K1" s="272"/>
    </row>
    <row r="3" spans="1:11" ht="15" thickBot="1" x14ac:dyDescent="0.35"/>
    <row r="4" spans="1:11" x14ac:dyDescent="0.3">
      <c r="A4" s="273" t="s">
        <v>207</v>
      </c>
      <c r="B4" s="274"/>
    </row>
    <row r="5" spans="1:11" x14ac:dyDescent="0.3">
      <c r="A5" s="29" t="s">
        <v>208</v>
      </c>
      <c r="B5" s="30">
        <f>'Financial Statements'!H48+'Financial Statements'!H52</f>
        <v>376.07</v>
      </c>
    </row>
    <row r="6" spans="1:11" x14ac:dyDescent="0.3">
      <c r="A6" s="29" t="s">
        <v>209</v>
      </c>
      <c r="B6" s="30">
        <f>'Financial Statements'!H47</f>
        <v>18764.53</v>
      </c>
    </row>
    <row r="7" spans="1:11" x14ac:dyDescent="0.3">
      <c r="A7" s="29" t="s">
        <v>210</v>
      </c>
      <c r="B7" s="30">
        <f>SUM(B5:B6)</f>
        <v>19140.599999999999</v>
      </c>
    </row>
    <row r="8" spans="1:11" x14ac:dyDescent="0.3">
      <c r="A8" s="29" t="s">
        <v>211</v>
      </c>
      <c r="B8" s="31">
        <f>B5/B7</f>
        <v>1.9647764437896408E-2</v>
      </c>
    </row>
    <row r="9" spans="1:11" x14ac:dyDescent="0.3">
      <c r="A9" s="29" t="s">
        <v>212</v>
      </c>
      <c r="B9" s="32">
        <f>B6/B7</f>
        <v>0.9803522355621036</v>
      </c>
    </row>
    <row r="10" spans="1:11" ht="15" thickBot="1" x14ac:dyDescent="0.35">
      <c r="A10" s="33" t="s">
        <v>213</v>
      </c>
      <c r="B10" s="34">
        <f>B5/B6</f>
        <v>2.0041535812514357E-2</v>
      </c>
    </row>
    <row r="11" spans="1:11" ht="15" thickBot="1" x14ac:dyDescent="0.35"/>
    <row r="12" spans="1:11" x14ac:dyDescent="0.3">
      <c r="A12" s="275" t="s">
        <v>214</v>
      </c>
      <c r="B12" s="276"/>
    </row>
    <row r="13" spans="1:11" x14ac:dyDescent="0.3">
      <c r="A13" s="29" t="s">
        <v>215</v>
      </c>
      <c r="B13" s="32">
        <f>Sources!C5</f>
        <v>6.6699999999999995E-2</v>
      </c>
    </row>
    <row r="14" spans="1:11" x14ac:dyDescent="0.3">
      <c r="A14" s="29" t="s">
        <v>216</v>
      </c>
      <c r="B14" s="35">
        <f>Beta!J6</f>
        <v>1.2018200110638075</v>
      </c>
    </row>
    <row r="15" spans="1:11" x14ac:dyDescent="0.3">
      <c r="A15" s="29" t="s">
        <v>217</v>
      </c>
      <c r="B15" s="32">
        <f>Sources!C7</f>
        <v>6.0931297027767992E-2</v>
      </c>
    </row>
    <row r="16" spans="1:11" ht="15" thickBot="1" x14ac:dyDescent="0.35">
      <c r="A16" s="33" t="s">
        <v>214</v>
      </c>
      <c r="B16" s="36">
        <f>B13+B14*B15</f>
        <v>0.13992845206804427</v>
      </c>
    </row>
    <row r="17" spans="1:4" ht="15" thickBot="1" x14ac:dyDescent="0.35"/>
    <row r="18" spans="1:4" x14ac:dyDescent="0.3">
      <c r="A18" s="275" t="s">
        <v>218</v>
      </c>
      <c r="B18" s="276"/>
    </row>
    <row r="19" spans="1:4" x14ac:dyDescent="0.3">
      <c r="A19" s="29" t="s">
        <v>218</v>
      </c>
      <c r="B19" s="37">
        <f>'Financial Statements'!H29/'Financial Statements'!H48</f>
        <v>0.1247043807950749</v>
      </c>
    </row>
    <row r="20" spans="1:4" x14ac:dyDescent="0.3">
      <c r="A20" s="29" t="s">
        <v>219</v>
      </c>
      <c r="B20" s="38">
        <f>Sources!C4</f>
        <v>0.25</v>
      </c>
    </row>
    <row r="21" spans="1:4" ht="15" thickBot="1" x14ac:dyDescent="0.35">
      <c r="A21" s="33" t="s">
        <v>220</v>
      </c>
      <c r="B21" s="39">
        <f>B19*(1-B20)</f>
        <v>9.3528285596306174E-2</v>
      </c>
    </row>
    <row r="22" spans="1:4" ht="15" thickBot="1" x14ac:dyDescent="0.35"/>
    <row r="23" spans="1:4" x14ac:dyDescent="0.3">
      <c r="A23" s="277" t="s">
        <v>221</v>
      </c>
      <c r="B23" s="278"/>
      <c r="C23" s="278"/>
      <c r="D23" s="279"/>
    </row>
    <row r="24" spans="1:4" x14ac:dyDescent="0.3">
      <c r="A24" s="29" t="s">
        <v>222</v>
      </c>
      <c r="B24" s="40" t="s">
        <v>223</v>
      </c>
      <c r="C24" s="40" t="s">
        <v>224</v>
      </c>
      <c r="D24" s="35" t="s">
        <v>225</v>
      </c>
    </row>
    <row r="25" spans="1:4" x14ac:dyDescent="0.3">
      <c r="A25" s="29" t="s">
        <v>226</v>
      </c>
      <c r="B25" s="41">
        <f>B8</f>
        <v>1.9647764437896408E-2</v>
      </c>
      <c r="C25" s="42">
        <f>B21</f>
        <v>9.3528285596306174E-2</v>
      </c>
      <c r="D25" s="38">
        <f>B25*C25</f>
        <v>1.8376217236765232E-3</v>
      </c>
    </row>
    <row r="26" spans="1:4" x14ac:dyDescent="0.3">
      <c r="A26" s="29" t="s">
        <v>227</v>
      </c>
      <c r="B26" s="42">
        <f>B9</f>
        <v>0.9803522355621036</v>
      </c>
      <c r="C26" s="42">
        <f>B16</f>
        <v>0.13992845206804427</v>
      </c>
      <c r="D26" s="38">
        <f>B26*C26</f>
        <v>0.13717917080365186</v>
      </c>
    </row>
    <row r="27" spans="1:4" ht="16.2" thickBot="1" x14ac:dyDescent="0.35">
      <c r="A27" s="43" t="s">
        <v>221</v>
      </c>
      <c r="B27" s="44"/>
      <c r="C27" s="44"/>
      <c r="D27" s="45">
        <f>SUM(D25:D26)</f>
        <v>0.13901679252732838</v>
      </c>
    </row>
  </sheetData>
  <mergeCells count="5">
    <mergeCell ref="A1:K1"/>
    <mergeCell ref="A4:B4"/>
    <mergeCell ref="A12:B12"/>
    <mergeCell ref="A18:B18"/>
    <mergeCell ref="A23:D2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F6114-8472-4C57-95F0-69AB5986259B}">
  <dimension ref="A1:O38"/>
  <sheetViews>
    <sheetView topLeftCell="A8" zoomScale="80" workbookViewId="0">
      <selection activeCell="F8" sqref="F8"/>
    </sheetView>
  </sheetViews>
  <sheetFormatPr defaultRowHeight="14.4" x14ac:dyDescent="0.3"/>
  <cols>
    <col min="1" max="1" width="28.21875" bestFit="1" customWidth="1"/>
    <col min="2" max="6" width="12.109375" bestFit="1" customWidth="1"/>
    <col min="7" max="7" width="13.77734375" bestFit="1" customWidth="1"/>
    <col min="10" max="10" width="24.88671875" bestFit="1" customWidth="1"/>
    <col min="11" max="11" width="13.109375" bestFit="1" customWidth="1"/>
  </cols>
  <sheetData>
    <row r="1" spans="1:15" ht="33.6" x14ac:dyDescent="0.65">
      <c r="A1" s="230" t="s">
        <v>254</v>
      </c>
      <c r="B1" s="230"/>
      <c r="C1" s="230"/>
      <c r="D1" s="230"/>
      <c r="E1" s="230"/>
      <c r="F1" s="230"/>
      <c r="G1" s="230"/>
      <c r="H1" s="230"/>
      <c r="I1" s="230"/>
      <c r="J1" s="230"/>
      <c r="K1" s="230"/>
      <c r="L1" s="230"/>
      <c r="M1" s="230"/>
      <c r="N1" s="230"/>
      <c r="O1" s="230"/>
    </row>
    <row r="2" spans="1:15" x14ac:dyDescent="0.3">
      <c r="A2" s="63"/>
    </row>
    <row r="3" spans="1:15" ht="15" thickBot="1" x14ac:dyDescent="0.35"/>
    <row r="4" spans="1:15" x14ac:dyDescent="0.3">
      <c r="A4" s="231" t="s">
        <v>255</v>
      </c>
      <c r="B4" s="232"/>
    </row>
    <row r="5" spans="1:15" x14ac:dyDescent="0.3">
      <c r="A5" s="29" t="s">
        <v>219</v>
      </c>
      <c r="B5" s="38">
        <f>Sources!C4</f>
        <v>0.25</v>
      </c>
    </row>
    <row r="6" spans="1:15" x14ac:dyDescent="0.3">
      <c r="A6" s="29" t="s">
        <v>256</v>
      </c>
      <c r="B6" s="38">
        <f>WACC!D27</f>
        <v>0.13901679252732838</v>
      </c>
    </row>
    <row r="7" spans="1:15" x14ac:dyDescent="0.3">
      <c r="A7" s="29" t="s">
        <v>257</v>
      </c>
      <c r="B7" s="64">
        <f>Sources!C8</f>
        <v>0.05</v>
      </c>
    </row>
    <row r="8" spans="1:15" x14ac:dyDescent="0.3">
      <c r="A8" s="29" t="s">
        <v>258</v>
      </c>
      <c r="B8" s="229">
        <v>46112</v>
      </c>
    </row>
    <row r="9" spans="1:15" x14ac:dyDescent="0.3">
      <c r="A9" s="29" t="s">
        <v>259</v>
      </c>
      <c r="B9" s="229">
        <v>45747</v>
      </c>
    </row>
    <row r="10" spans="1:15" x14ac:dyDescent="0.3">
      <c r="A10" s="29" t="s">
        <v>250</v>
      </c>
      <c r="B10" s="35">
        <f>Sources!C11</f>
        <v>420</v>
      </c>
    </row>
    <row r="11" spans="1:15" x14ac:dyDescent="0.3">
      <c r="A11" s="29" t="s">
        <v>260</v>
      </c>
      <c r="B11" s="30">
        <f>'Financial Statements'!H45</f>
        <v>676.4</v>
      </c>
    </row>
    <row r="12" spans="1:15" x14ac:dyDescent="0.3">
      <c r="A12" s="29" t="s">
        <v>261</v>
      </c>
      <c r="B12" s="30">
        <f>'Financial Statements'!H48</f>
        <v>266.39</v>
      </c>
    </row>
    <row r="13" spans="1:15" ht="15" thickBot="1" x14ac:dyDescent="0.35">
      <c r="A13" s="33" t="s">
        <v>262</v>
      </c>
      <c r="B13" s="65">
        <f>'Financial Statements'!H65</f>
        <v>1599.94</v>
      </c>
    </row>
    <row r="14" spans="1:15" x14ac:dyDescent="0.3">
      <c r="B14" s="66"/>
    </row>
    <row r="15" spans="1:15" ht="15" thickBot="1" x14ac:dyDescent="0.35">
      <c r="G15" s="122" t="s">
        <v>263</v>
      </c>
    </row>
    <row r="16" spans="1:15" ht="21.6" thickBot="1" x14ac:dyDescent="0.45">
      <c r="A16" s="233" t="s">
        <v>264</v>
      </c>
      <c r="B16" s="234"/>
      <c r="C16" s="234"/>
      <c r="D16" s="234"/>
      <c r="E16" s="234"/>
      <c r="F16" s="234"/>
      <c r="G16" s="235"/>
    </row>
    <row r="17" spans="1:12" ht="21" x14ac:dyDescent="0.4">
      <c r="A17" s="120" t="s">
        <v>265</v>
      </c>
      <c r="B17" s="121">
        <v>1</v>
      </c>
      <c r="C17" s="121">
        <v>2</v>
      </c>
      <c r="D17" s="121">
        <v>3</v>
      </c>
      <c r="E17" s="121">
        <v>4</v>
      </c>
      <c r="F17" s="121">
        <v>5</v>
      </c>
      <c r="G17" s="119" t="s">
        <v>266</v>
      </c>
      <c r="J17" s="236" t="s">
        <v>267</v>
      </c>
      <c r="K17" s="237"/>
    </row>
    <row r="18" spans="1:12" x14ac:dyDescent="0.3">
      <c r="A18" s="120" t="s">
        <v>117</v>
      </c>
      <c r="B18" s="121">
        <v>2026</v>
      </c>
      <c r="C18" s="121">
        <v>2027</v>
      </c>
      <c r="D18" s="121">
        <v>2028</v>
      </c>
      <c r="E18" s="121">
        <v>2029</v>
      </c>
      <c r="F18" s="121">
        <v>2030</v>
      </c>
      <c r="G18" s="119" t="s">
        <v>268</v>
      </c>
      <c r="J18" s="107" t="s">
        <v>269</v>
      </c>
      <c r="K18" s="30">
        <f>B29+C29+D29+E29+F29</f>
        <v>4595.898148885417</v>
      </c>
    </row>
    <row r="19" spans="1:12" x14ac:dyDescent="0.3">
      <c r="A19" s="107" t="s">
        <v>270</v>
      </c>
      <c r="B19" s="67">
        <f>'Financial Statements'!I26</f>
        <v>2871.7937811017273</v>
      </c>
      <c r="C19" s="67">
        <f>'Financial Statements'!J26</f>
        <v>3166.3625345660612</v>
      </c>
      <c r="D19" s="67">
        <f>'Financial Statements'!K26</f>
        <v>3496.2795384461183</v>
      </c>
      <c r="E19" s="67">
        <f>'Financial Statements'!L26</f>
        <v>3865.7865827917753</v>
      </c>
      <c r="F19" s="67">
        <f>'Financial Statements'!M26</f>
        <v>4279.6344724589144</v>
      </c>
      <c r="G19" s="35"/>
      <c r="J19" s="107" t="s">
        <v>271</v>
      </c>
      <c r="K19" s="30">
        <f>G25</f>
        <v>16847.813956722475</v>
      </c>
    </row>
    <row r="20" spans="1:12" x14ac:dyDescent="0.3">
      <c r="A20" s="107" t="s">
        <v>219</v>
      </c>
      <c r="B20" s="42">
        <f>$B$5</f>
        <v>0.25</v>
      </c>
      <c r="C20" s="42">
        <f t="shared" ref="C20:F20" si="0">$B$5</f>
        <v>0.25</v>
      </c>
      <c r="D20" s="42">
        <f t="shared" si="0"/>
        <v>0.25</v>
      </c>
      <c r="E20" s="42">
        <f t="shared" si="0"/>
        <v>0.25</v>
      </c>
      <c r="F20" s="42">
        <f t="shared" si="0"/>
        <v>0.25</v>
      </c>
      <c r="G20" s="35"/>
      <c r="J20" s="107" t="s">
        <v>272</v>
      </c>
      <c r="K20" s="30">
        <f>G29</f>
        <v>8788.0581809077667</v>
      </c>
    </row>
    <row r="21" spans="1:12" x14ac:dyDescent="0.3">
      <c r="A21" s="107" t="s">
        <v>273</v>
      </c>
      <c r="B21" s="67">
        <f>B19*(1-B20)</f>
        <v>2153.8453358262955</v>
      </c>
      <c r="C21" s="67">
        <f t="shared" ref="C21:F21" si="1">C19*(1-C20)</f>
        <v>2374.7719009245457</v>
      </c>
      <c r="D21" s="67">
        <f t="shared" si="1"/>
        <v>2622.2096538345886</v>
      </c>
      <c r="E21" s="67">
        <f t="shared" si="1"/>
        <v>2899.3399370938314</v>
      </c>
      <c r="F21" s="67">
        <f t="shared" si="1"/>
        <v>3209.7258543441858</v>
      </c>
      <c r="G21" s="35"/>
      <c r="J21" s="111" t="s">
        <v>274</v>
      </c>
      <c r="K21" s="112">
        <f>K20+K18</f>
        <v>13383.956329793184</v>
      </c>
    </row>
    <row r="22" spans="1:12" x14ac:dyDescent="0.3">
      <c r="A22" s="107" t="s">
        <v>275</v>
      </c>
      <c r="B22" s="67">
        <f>'Financial Statements'!I25</f>
        <v>839.65885587604305</v>
      </c>
      <c r="C22" s="67">
        <f>'Financial Statements'!J25</f>
        <v>990.46441884904118</v>
      </c>
      <c r="D22" s="67">
        <f>'Financial Statements'!K25</f>
        <v>1159.3666493787991</v>
      </c>
      <c r="E22" s="67">
        <f>'Financial Statements'!L25</f>
        <v>1348.5371475721281</v>
      </c>
      <c r="F22" s="67">
        <f>'Financial Statements'!M25</f>
        <v>1560.4081055486565</v>
      </c>
      <c r="G22" s="35"/>
      <c r="J22" s="107" t="s">
        <v>276</v>
      </c>
      <c r="K22" s="30">
        <f>B12</f>
        <v>266.39</v>
      </c>
    </row>
    <row r="23" spans="1:12" x14ac:dyDescent="0.3">
      <c r="A23" s="107" t="s">
        <v>277</v>
      </c>
      <c r="B23" s="68">
        <f>'PPE Schedule'!H11</f>
        <v>1538.9600000000009</v>
      </c>
      <c r="C23" s="68">
        <f>'PPE Schedule'!I11</f>
        <v>2248.0289708912178</v>
      </c>
      <c r="D23" s="68">
        <f>'PPE Schedule'!J11</f>
        <v>2517.7924473981643</v>
      </c>
      <c r="E23" s="68">
        <f>'PPE Schedule'!K11</f>
        <v>2819.9275410859445</v>
      </c>
      <c r="F23" s="68">
        <f>'PPE Schedule'!L11</f>
        <v>3158.3188460162578</v>
      </c>
      <c r="G23" s="35"/>
      <c r="J23" s="107" t="s">
        <v>278</v>
      </c>
      <c r="K23" s="30">
        <f>B13</f>
        <v>1599.94</v>
      </c>
    </row>
    <row r="24" spans="1:12" x14ac:dyDescent="0.3">
      <c r="A24" s="107" t="s">
        <v>279</v>
      </c>
      <c r="B24" s="67">
        <f>'Financial Statements'!I85-'Financial Statements'!H85</f>
        <v>-100.29576190654279</v>
      </c>
      <c r="C24" s="67">
        <f>'Financial Statements'!J85-'Financial Statements'!I85</f>
        <v>-31.858270308786359</v>
      </c>
      <c r="D24" s="67">
        <f>'Financial Statements'!K85-'Financial Statements'!J85</f>
        <v>48.367050075920815</v>
      </c>
      <c r="E24" s="67">
        <f>'Financial Statements'!L85-'Financial Statements'!K85</f>
        <v>119.14035737327458</v>
      </c>
      <c r="F24" s="67">
        <f>'Financial Statements'!M85-'Financial Statements'!L85</f>
        <v>183.49286671030677</v>
      </c>
      <c r="G24" s="35"/>
      <c r="J24" s="107" t="s">
        <v>280</v>
      </c>
      <c r="K24" s="112">
        <f>K21-K22+K23</f>
        <v>14717.506329793185</v>
      </c>
    </row>
    <row r="25" spans="1:12" x14ac:dyDescent="0.3">
      <c r="A25" s="107" t="s">
        <v>281</v>
      </c>
      <c r="B25" s="67">
        <f>B21+B22-B23-B24</f>
        <v>1554.8399536088805</v>
      </c>
      <c r="C25" s="67">
        <f t="shared" ref="C25:F25" si="2">C21+C22-C23-C24</f>
        <v>1149.0656191911553</v>
      </c>
      <c r="D25" s="67">
        <f t="shared" si="2"/>
        <v>1215.4168057393026</v>
      </c>
      <c r="E25" s="67">
        <f t="shared" si="2"/>
        <v>1308.8091862067399</v>
      </c>
      <c r="F25" s="67">
        <f t="shared" si="2"/>
        <v>1428.322247166278</v>
      </c>
      <c r="G25" s="30">
        <f>F25*(1+G27)/(G26-G27)</f>
        <v>16847.813956722475</v>
      </c>
      <c r="J25" s="107" t="s">
        <v>282</v>
      </c>
      <c r="K25" s="30">
        <f>B11</f>
        <v>676.4</v>
      </c>
    </row>
    <row r="26" spans="1:12" x14ac:dyDescent="0.3">
      <c r="A26" s="107" t="s">
        <v>221</v>
      </c>
      <c r="B26" s="42">
        <f>$B$6</f>
        <v>0.13901679252732838</v>
      </c>
      <c r="C26" s="42">
        <f t="shared" ref="C26:F26" si="3">$B$6</f>
        <v>0.13901679252732838</v>
      </c>
      <c r="D26" s="42">
        <f t="shared" si="3"/>
        <v>0.13901679252732838</v>
      </c>
      <c r="E26" s="42">
        <f t="shared" si="3"/>
        <v>0.13901679252732838</v>
      </c>
      <c r="F26" s="42">
        <f t="shared" si="3"/>
        <v>0.13901679252732838</v>
      </c>
      <c r="G26" s="38">
        <f t="shared" ref="G26" si="4">$B$6</f>
        <v>0.13901679252732838</v>
      </c>
      <c r="J26" s="107" t="s">
        <v>283</v>
      </c>
      <c r="K26" s="113">
        <f>K24/K25</f>
        <v>21.758584165868104</v>
      </c>
    </row>
    <row r="27" spans="1:12" x14ac:dyDescent="0.3">
      <c r="A27" s="107" t="s">
        <v>266</v>
      </c>
      <c r="B27" s="40"/>
      <c r="C27" s="40"/>
      <c r="D27" s="40"/>
      <c r="E27" s="40"/>
      <c r="F27" s="40"/>
      <c r="G27" s="64">
        <f>B7</f>
        <v>0.05</v>
      </c>
      <c r="J27" s="107" t="s">
        <v>284</v>
      </c>
      <c r="K27" s="113">
        <f>B10</f>
        <v>420</v>
      </c>
    </row>
    <row r="28" spans="1:12" x14ac:dyDescent="0.3">
      <c r="A28" s="107" t="s">
        <v>285</v>
      </c>
      <c r="B28" s="40">
        <f>1/(1+B26)^B17</f>
        <v>0.87795018173624251</v>
      </c>
      <c r="C28" s="40">
        <f t="shared" ref="C28:F28" si="5">1/(1+C26)^C17</f>
        <v>0.77079652161070122</v>
      </c>
      <c r="D28" s="40">
        <f t="shared" si="5"/>
        <v>0.67672094622977874</v>
      </c>
      <c r="E28" s="40">
        <f t="shared" si="5"/>
        <v>0.59412727772715623</v>
      </c>
      <c r="F28" s="40">
        <f t="shared" si="5"/>
        <v>0.52161415145501577</v>
      </c>
      <c r="G28" s="109">
        <f>1/(1+G26)^F17</f>
        <v>0.52161415145501577</v>
      </c>
      <c r="J28" s="107" t="s">
        <v>286</v>
      </c>
      <c r="K28" s="30">
        <f>B11</f>
        <v>676.4</v>
      </c>
    </row>
    <row r="29" spans="1:12" ht="15" thickBot="1" x14ac:dyDescent="0.35">
      <c r="A29" s="108" t="s">
        <v>287</v>
      </c>
      <c r="B29" s="110">
        <f>B25*B28</f>
        <v>1365.0720198416875</v>
      </c>
      <c r="C29" s="110">
        <f t="shared" ref="C29:F29" si="6">C25*C28</f>
        <v>885.69578237498911</v>
      </c>
      <c r="D29" s="110">
        <f t="shared" si="6"/>
        <v>822.4980108434761</v>
      </c>
      <c r="E29" s="110">
        <f t="shared" si="6"/>
        <v>777.5992388653051</v>
      </c>
      <c r="F29" s="110">
        <f t="shared" si="6"/>
        <v>745.03309695995938</v>
      </c>
      <c r="G29" s="65">
        <f>G28*G25</f>
        <v>8788.0581809077667</v>
      </c>
      <c r="J29" s="108" t="s">
        <v>288</v>
      </c>
      <c r="K29" s="114">
        <f>K28*K27</f>
        <v>284088</v>
      </c>
    </row>
    <row r="31" spans="1:12" ht="15" thickBot="1" x14ac:dyDescent="0.35">
      <c r="G31" s="240" t="s">
        <v>499</v>
      </c>
      <c r="H31" s="240"/>
      <c r="I31" s="240"/>
      <c r="J31" s="240"/>
      <c r="K31" s="240"/>
      <c r="L31" s="240"/>
    </row>
    <row r="32" spans="1:12" x14ac:dyDescent="0.3">
      <c r="A32" s="238" t="s">
        <v>289</v>
      </c>
      <c r="B32" s="239"/>
      <c r="F32" s="219" t="s">
        <v>497</v>
      </c>
      <c r="G32" s="224">
        <f>K26</f>
        <v>21.758584165868104</v>
      </c>
      <c r="H32" s="222">
        <v>0.12</v>
      </c>
      <c r="I32" s="222">
        <v>0.13</v>
      </c>
      <c r="J32" s="222">
        <v>0.14000000000000001</v>
      </c>
      <c r="K32" s="222">
        <v>0.15</v>
      </c>
      <c r="L32" s="222">
        <v>0.16</v>
      </c>
    </row>
    <row r="33" spans="1:12" x14ac:dyDescent="0.3">
      <c r="A33" s="107" t="s">
        <v>290</v>
      </c>
      <c r="B33" s="69">
        <f>B10</f>
        <v>420</v>
      </c>
      <c r="F33" s="220" t="s">
        <v>498</v>
      </c>
      <c r="G33" s="223">
        <v>0.04</v>
      </c>
      <c r="H33" s="221">
        <f t="dataTable" ref="H33:L37" dt2D="1" dtr="1" r1="B6" r2="B7"/>
        <v>24.661838013867698</v>
      </c>
      <c r="I33" s="221">
        <v>22.15846141876991</v>
      </c>
      <c r="J33" s="221">
        <v>20.156297355323449</v>
      </c>
      <c r="K33" s="221">
        <v>18.518609187011091</v>
      </c>
      <c r="L33" s="221">
        <v>17.154241807617897</v>
      </c>
    </row>
    <row r="34" spans="1:12" x14ac:dyDescent="0.3">
      <c r="A34" s="107" t="s">
        <v>291</v>
      </c>
      <c r="B34" s="69">
        <f>B35-B33</f>
        <v>-398.24141583413189</v>
      </c>
      <c r="G34" s="223">
        <v>0.05</v>
      </c>
      <c r="H34" s="221">
        <v>27.058255523218634</v>
      </c>
      <c r="I34" s="221">
        <v>23.957234300012455</v>
      </c>
      <c r="J34" s="221">
        <v>21.54548428001663</v>
      </c>
      <c r="K34" s="221">
        <v>19.61619517777779</v>
      </c>
      <c r="L34" s="221">
        <v>18.037762476325863</v>
      </c>
    </row>
    <row r="35" spans="1:12" x14ac:dyDescent="0.3">
      <c r="A35" s="107" t="s">
        <v>292</v>
      </c>
      <c r="B35" s="69">
        <f>K26</f>
        <v>21.758584165868104</v>
      </c>
      <c r="G35" s="223">
        <v>0.06</v>
      </c>
      <c r="H35" s="221">
        <v>30.253478869019869</v>
      </c>
      <c r="I35" s="221">
        <v>26.26994229018144</v>
      </c>
      <c r="J35" s="221">
        <v>23.281967935883106</v>
      </c>
      <c r="K35" s="221">
        <v>20.957689166492646</v>
      </c>
      <c r="L35" s="221">
        <v>19.097987278775424</v>
      </c>
    </row>
    <row r="36" spans="1:12" x14ac:dyDescent="0.3">
      <c r="A36" s="107" t="s">
        <v>293</v>
      </c>
      <c r="B36" s="116">
        <f>B34/B33</f>
        <v>-0.94819384722412359</v>
      </c>
      <c r="G36" s="223">
        <v>7.0000000000000007E-2</v>
      </c>
      <c r="H36" s="221">
        <v>34.726791553141624</v>
      </c>
      <c r="I36" s="221">
        <v>29.353552943740095</v>
      </c>
      <c r="J36" s="221">
        <v>25.51458977914001</v>
      </c>
      <c r="K36" s="221">
        <v>22.634556652386213</v>
      </c>
      <c r="L36" s="221">
        <v>20.393817592880442</v>
      </c>
    </row>
    <row r="37" spans="1:12" ht="15.6" x14ac:dyDescent="0.3">
      <c r="A37" s="115" t="s">
        <v>294</v>
      </c>
      <c r="B37" s="117" t="s">
        <v>295</v>
      </c>
      <c r="G37" s="223">
        <v>0.08</v>
      </c>
      <c r="H37" s="221">
        <v>41.436760579324229</v>
      </c>
      <c r="I37" s="221">
        <v>33.670607858722207</v>
      </c>
      <c r="J37" s="221">
        <v>28.49141890348254</v>
      </c>
      <c r="K37" s="221">
        <v>24.790529134249365</v>
      </c>
      <c r="L37" s="221">
        <v>22.013605485511711</v>
      </c>
    </row>
    <row r="38" spans="1:12" ht="15" thickBot="1" x14ac:dyDescent="0.35">
      <c r="A38" s="108" t="s">
        <v>296</v>
      </c>
      <c r="B38" s="118" t="s">
        <v>297</v>
      </c>
    </row>
  </sheetData>
  <mergeCells count="6">
    <mergeCell ref="A1:O1"/>
    <mergeCell ref="A4:B4"/>
    <mergeCell ref="A16:G16"/>
    <mergeCell ref="J17:K17"/>
    <mergeCell ref="A32:B32"/>
    <mergeCell ref="G31:L3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7E79-7C3A-4A96-B671-2E1D3EA34324}">
  <dimension ref="A1:O11"/>
  <sheetViews>
    <sheetView workbookViewId="0">
      <selection activeCell="B17" sqref="B17"/>
    </sheetView>
  </sheetViews>
  <sheetFormatPr defaultRowHeight="14.4" x14ac:dyDescent="0.3"/>
  <cols>
    <col min="1" max="1" width="23.6640625" bestFit="1" customWidth="1"/>
    <col min="2" max="2" width="7.88671875" bestFit="1" customWidth="1"/>
    <col min="3" max="3" width="17" bestFit="1" customWidth="1"/>
    <col min="4" max="4" width="15.21875" bestFit="1" customWidth="1"/>
    <col min="5" max="5" width="19.44140625" bestFit="1" customWidth="1"/>
    <col min="6" max="6" width="10.44140625" bestFit="1" customWidth="1"/>
    <col min="7" max="7" width="12.21875" bestFit="1" customWidth="1"/>
    <col min="11" max="11" width="7.6640625" bestFit="1" customWidth="1"/>
    <col min="12" max="12" width="9.44140625" bestFit="1" customWidth="1"/>
  </cols>
  <sheetData>
    <row r="1" spans="1:15" ht="17.399999999999999" x14ac:dyDescent="0.3">
      <c r="A1" s="280" t="s">
        <v>324</v>
      </c>
      <c r="B1" s="280"/>
      <c r="C1" s="280"/>
      <c r="D1" s="280"/>
      <c r="E1" s="280"/>
      <c r="F1" s="280"/>
      <c r="G1" s="280"/>
      <c r="H1" s="280"/>
      <c r="I1" s="280"/>
      <c r="J1" s="280"/>
      <c r="K1" s="280"/>
      <c r="L1" s="280"/>
      <c r="M1" s="280"/>
    </row>
    <row r="2" spans="1:15" ht="15" thickBot="1" x14ac:dyDescent="0.35"/>
    <row r="3" spans="1:15" ht="15" thickBot="1" x14ac:dyDescent="0.35">
      <c r="A3" s="172" t="s">
        <v>325</v>
      </c>
      <c r="B3" s="281" t="s">
        <v>326</v>
      </c>
      <c r="C3" s="281"/>
      <c r="D3" s="281"/>
      <c r="E3" s="281"/>
      <c r="F3" s="281" t="s">
        <v>327</v>
      </c>
      <c r="G3" s="281"/>
      <c r="H3" s="281"/>
      <c r="I3" s="281"/>
      <c r="J3" s="281" t="s">
        <v>328</v>
      </c>
      <c r="K3" s="281"/>
      <c r="L3" s="281"/>
      <c r="M3" s="281"/>
      <c r="N3" s="173"/>
      <c r="O3" s="174"/>
    </row>
    <row r="4" spans="1:15" ht="26.4" x14ac:dyDescent="0.3">
      <c r="A4" s="175" t="s">
        <v>325</v>
      </c>
      <c r="B4" s="176" t="s">
        <v>329</v>
      </c>
      <c r="C4" s="176" t="s">
        <v>330</v>
      </c>
      <c r="D4" s="176" t="s">
        <v>331</v>
      </c>
      <c r="E4" s="176" t="s">
        <v>332</v>
      </c>
      <c r="F4" s="176" t="s">
        <v>333</v>
      </c>
      <c r="G4" s="176" t="s">
        <v>334</v>
      </c>
      <c r="H4" s="176" t="s">
        <v>335</v>
      </c>
      <c r="I4" s="176" t="s">
        <v>336</v>
      </c>
      <c r="J4" s="176" t="s">
        <v>337</v>
      </c>
      <c r="K4" s="176" t="s">
        <v>338</v>
      </c>
      <c r="L4" s="176" t="s">
        <v>339</v>
      </c>
      <c r="M4" s="176" t="s">
        <v>340</v>
      </c>
      <c r="N4" s="176" t="s">
        <v>341</v>
      </c>
      <c r="O4" s="177" t="s">
        <v>342</v>
      </c>
    </row>
    <row r="5" spans="1:15" x14ac:dyDescent="0.3">
      <c r="A5" s="178" t="s">
        <v>191</v>
      </c>
      <c r="B5" s="167">
        <v>470</v>
      </c>
      <c r="C5" s="168">
        <v>12457</v>
      </c>
      <c r="D5" s="169">
        <f>B5*C5</f>
        <v>5854790</v>
      </c>
      <c r="E5" s="169">
        <f>D5+N5</f>
        <v>5819790</v>
      </c>
      <c r="F5" s="170">
        <v>75000</v>
      </c>
      <c r="G5" s="170">
        <v>27225</v>
      </c>
      <c r="H5" s="170">
        <v>23400</v>
      </c>
      <c r="I5" s="167">
        <v>12.1</v>
      </c>
      <c r="J5" s="171">
        <f>B5/I5</f>
        <v>38.84297520661157</v>
      </c>
      <c r="K5" s="171">
        <f>E5/F5</f>
        <v>77.597200000000001</v>
      </c>
      <c r="L5" s="171">
        <f>E5/G5</f>
        <v>213.766391184573</v>
      </c>
      <c r="M5" s="171">
        <f>E5/H5</f>
        <v>248.70897435897436</v>
      </c>
      <c r="N5" s="170">
        <v>-35000</v>
      </c>
      <c r="O5" s="179">
        <v>850</v>
      </c>
    </row>
    <row r="6" spans="1:15" x14ac:dyDescent="0.3">
      <c r="A6" s="178" t="s">
        <v>192</v>
      </c>
      <c r="B6" s="167">
        <v>2250</v>
      </c>
      <c r="C6" s="168">
        <v>964</v>
      </c>
      <c r="D6" s="169">
        <f t="shared" ref="D6:D8" si="0">B6*C6</f>
        <v>2169000</v>
      </c>
      <c r="E6" s="169">
        <f t="shared" ref="E6:E8" si="1">D6+N6</f>
        <v>2167800</v>
      </c>
      <c r="F6" s="170">
        <v>21000</v>
      </c>
      <c r="G6" s="170">
        <v>5271</v>
      </c>
      <c r="H6" s="170">
        <v>4578</v>
      </c>
      <c r="I6" s="167">
        <v>128.30000000000001</v>
      </c>
      <c r="J6" s="171">
        <f t="shared" ref="J6:J8" si="2">B6/I6</f>
        <v>17.537022603273577</v>
      </c>
      <c r="K6" s="171">
        <f t="shared" ref="K6:K8" si="3">E6/F6</f>
        <v>103.22857142857143</v>
      </c>
      <c r="L6" s="171">
        <f t="shared" ref="L6:L8" si="4">E6/G6</f>
        <v>411.26920887877066</v>
      </c>
      <c r="M6" s="171">
        <f t="shared" ref="M6:M8" si="5">E6/H6</f>
        <v>473.52555701179557</v>
      </c>
      <c r="N6" s="170">
        <v>-1200</v>
      </c>
      <c r="O6" s="179">
        <v>310</v>
      </c>
    </row>
    <row r="7" spans="1:15" x14ac:dyDescent="0.3">
      <c r="A7" s="178" t="s">
        <v>193</v>
      </c>
      <c r="B7" s="167">
        <v>5400</v>
      </c>
      <c r="C7" s="168">
        <v>241</v>
      </c>
      <c r="D7" s="169">
        <f t="shared" si="0"/>
        <v>1301400</v>
      </c>
      <c r="E7" s="169">
        <f t="shared" si="1"/>
        <v>1301820</v>
      </c>
      <c r="F7" s="170">
        <v>18200</v>
      </c>
      <c r="G7" s="170">
        <v>3058</v>
      </c>
      <c r="H7" s="170">
        <v>2748</v>
      </c>
      <c r="I7" s="167">
        <v>82.4</v>
      </c>
      <c r="J7" s="171">
        <f t="shared" si="2"/>
        <v>65.533980582524265</v>
      </c>
      <c r="K7" s="171">
        <f t="shared" si="3"/>
        <v>71.528571428571425</v>
      </c>
      <c r="L7" s="171">
        <f t="shared" si="4"/>
        <v>425.7096141268803</v>
      </c>
      <c r="M7" s="171">
        <f t="shared" si="5"/>
        <v>473.73362445414847</v>
      </c>
      <c r="N7" s="170">
        <v>420</v>
      </c>
      <c r="O7" s="179">
        <v>220</v>
      </c>
    </row>
    <row r="8" spans="1:15" ht="15" thickBot="1" x14ac:dyDescent="0.35">
      <c r="A8" s="186" t="s">
        <v>482</v>
      </c>
      <c r="B8" s="180">
        <v>2350</v>
      </c>
      <c r="C8" s="181">
        <v>2355</v>
      </c>
      <c r="D8" s="182">
        <f t="shared" si="0"/>
        <v>5534250</v>
      </c>
      <c r="E8" s="182">
        <f t="shared" si="1"/>
        <v>5526050</v>
      </c>
      <c r="F8" s="183">
        <v>65000</v>
      </c>
      <c r="G8" s="183">
        <v>15925</v>
      </c>
      <c r="H8" s="183">
        <v>14235</v>
      </c>
      <c r="I8" s="180">
        <v>42.8</v>
      </c>
      <c r="J8" s="184">
        <f t="shared" si="2"/>
        <v>54.90654205607477</v>
      </c>
      <c r="K8" s="184">
        <f t="shared" si="3"/>
        <v>85.016153846153841</v>
      </c>
      <c r="L8" s="184">
        <f t="shared" si="4"/>
        <v>347.00470957613817</v>
      </c>
      <c r="M8" s="184">
        <f t="shared" si="5"/>
        <v>388.20161573586233</v>
      </c>
      <c r="N8" s="183">
        <v>-8200</v>
      </c>
      <c r="O8" s="185">
        <v>1200</v>
      </c>
    </row>
    <row r="9" spans="1:15" ht="15" thickBot="1" x14ac:dyDescent="0.35">
      <c r="A9" s="159"/>
      <c r="B9" s="160"/>
      <c r="C9" s="161"/>
      <c r="D9" s="162"/>
      <c r="E9" s="162"/>
      <c r="F9" s="163"/>
      <c r="G9" s="163"/>
      <c r="H9" s="163"/>
      <c r="I9" s="160"/>
      <c r="J9" s="164"/>
      <c r="K9" s="164"/>
      <c r="L9" s="164"/>
      <c r="M9" s="165"/>
      <c r="N9" s="166"/>
      <c r="O9" s="166"/>
    </row>
    <row r="10" spans="1:15" ht="15" thickBot="1" x14ac:dyDescent="0.35">
      <c r="A10" s="78" t="s">
        <v>343</v>
      </c>
      <c r="B10" s="79"/>
      <c r="C10" s="79"/>
      <c r="D10" s="79"/>
      <c r="E10" s="79"/>
      <c r="F10" s="79"/>
      <c r="G10" s="79"/>
      <c r="H10" s="79"/>
      <c r="I10" s="79"/>
      <c r="J10" s="80">
        <f>AVERAGE(J5:J8)</f>
        <v>44.20513011212104</v>
      </c>
      <c r="K10" s="80">
        <f>AVERAGE(K5:K8)</f>
        <v>84.34262417582417</v>
      </c>
      <c r="L10" s="80">
        <f>AVERAGE(L5:L8)</f>
        <v>349.43748094159054</v>
      </c>
      <c r="M10" s="80">
        <f>AVERAGE(M5:M8)</f>
        <v>396.04244289019516</v>
      </c>
      <c r="N10" s="77"/>
      <c r="O10" s="77"/>
    </row>
    <row r="11" spans="1:15" ht="15" thickBot="1" x14ac:dyDescent="0.35">
      <c r="A11" s="81" t="s">
        <v>344</v>
      </c>
      <c r="B11" s="82"/>
      <c r="C11" s="82"/>
      <c r="D11" s="82"/>
      <c r="E11" s="82"/>
      <c r="F11" s="82"/>
      <c r="G11" s="82"/>
      <c r="H11" s="82"/>
      <c r="I11" s="82"/>
      <c r="J11" s="83">
        <f>MEDIAN(J5:J8)</f>
        <v>46.87475863134317</v>
      </c>
      <c r="K11" s="83">
        <f>MEDIAN(K5:K8)</f>
        <v>81.306676923076921</v>
      </c>
      <c r="L11" s="83">
        <f>MEDIAN(L5:L8)</f>
        <v>379.13695922745444</v>
      </c>
      <c r="M11" s="83">
        <f>MEDIAN(M5:M8)</f>
        <v>430.86358637382898</v>
      </c>
      <c r="N11" s="77"/>
      <c r="O11" s="77"/>
    </row>
  </sheetData>
  <mergeCells count="4">
    <mergeCell ref="A1:M1"/>
    <mergeCell ref="B3:E3"/>
    <mergeCell ref="F3:I3"/>
    <mergeCell ref="J3:M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D3652-037E-493F-8AA9-E57CB464DDD1}">
  <dimension ref="A1:L31"/>
  <sheetViews>
    <sheetView topLeftCell="A10" workbookViewId="0">
      <selection activeCell="A24" sqref="A24:L24"/>
    </sheetView>
  </sheetViews>
  <sheetFormatPr defaultRowHeight="14.4" x14ac:dyDescent="0.3"/>
  <cols>
    <col min="1" max="1" width="22.77734375" bestFit="1" customWidth="1"/>
  </cols>
  <sheetData>
    <row r="1" spans="1:12" ht="25.8" x14ac:dyDescent="0.5">
      <c r="A1" s="282" t="s">
        <v>345</v>
      </c>
      <c r="B1" s="282"/>
      <c r="C1" s="282"/>
      <c r="D1" s="282"/>
      <c r="E1" s="282"/>
      <c r="F1" s="282"/>
      <c r="G1" s="282"/>
      <c r="H1" s="282"/>
      <c r="I1" s="282"/>
      <c r="J1" s="282"/>
      <c r="K1" s="282"/>
      <c r="L1" s="282"/>
    </row>
    <row r="2" spans="1:12" ht="15" thickBot="1" x14ac:dyDescent="0.35">
      <c r="A2" s="84"/>
      <c r="B2" s="84"/>
      <c r="C2" s="84"/>
      <c r="D2" s="84"/>
      <c r="E2" s="84"/>
      <c r="F2" s="84"/>
      <c r="G2" s="84"/>
      <c r="H2" s="84"/>
    </row>
    <row r="3" spans="1:12" ht="28.8" x14ac:dyDescent="0.3">
      <c r="A3" s="217" t="s">
        <v>266</v>
      </c>
      <c r="B3" s="218" t="s">
        <v>299</v>
      </c>
      <c r="C3" s="218" t="s">
        <v>300</v>
      </c>
      <c r="D3" s="218" t="s">
        <v>301</v>
      </c>
      <c r="E3" s="218" t="s">
        <v>302</v>
      </c>
      <c r="F3" s="218" t="s">
        <v>303</v>
      </c>
      <c r="G3" s="218" t="s">
        <v>304</v>
      </c>
      <c r="H3" s="218" t="s">
        <v>305</v>
      </c>
      <c r="I3" s="218" t="s">
        <v>306</v>
      </c>
      <c r="J3" s="218" t="s">
        <v>307</v>
      </c>
      <c r="K3" s="218" t="s">
        <v>308</v>
      </c>
      <c r="L3" s="218" t="s">
        <v>309</v>
      </c>
    </row>
    <row r="4" spans="1:12" x14ac:dyDescent="0.3">
      <c r="A4" s="85" t="s">
        <v>346</v>
      </c>
      <c r="B4" s="86">
        <f>('Financial Statements'!D8-'Financial Statements'!C8)/'Financial Statements'!C8</f>
        <v>0.35257000481907946</v>
      </c>
      <c r="C4" s="86">
        <f>('Financial Statements'!E8-'Financial Statements'!D8)/'Financial Statements'!D8</f>
        <v>0.60646568845952087</v>
      </c>
      <c r="D4" s="86">
        <f>('Financial Statements'!F8-'Financial Statements'!E8)/'Financial Statements'!E8</f>
        <v>0.19224543995137711</v>
      </c>
      <c r="E4" s="86">
        <f>('Financial Statements'!G8-'Financial Statements'!F8)/'Financial Statements'!F8</f>
        <v>0.13581833999191001</v>
      </c>
      <c r="F4" s="86">
        <f>('Financial Statements'!H8-'Financial Statements'!G8)/'Financial Statements'!G8</f>
        <v>1.4511520287693527E-2</v>
      </c>
      <c r="G4" s="86">
        <f>('Financial Statements'!I8-'Financial Statements'!H8)/'Financial Statements'!H8</f>
        <v>0.12000000000000013</v>
      </c>
      <c r="H4" s="86">
        <f>('Financial Statements'!J8-'Financial Statements'!I8)/'Financial Statements'!I8</f>
        <v>0.12000000000000009</v>
      </c>
      <c r="I4" s="86">
        <f>('Financial Statements'!K8-'Financial Statements'!J8)/'Financial Statements'!J8</f>
        <v>0.12000000000000016</v>
      </c>
      <c r="J4" s="86">
        <f>('Financial Statements'!L8-'Financial Statements'!K8)/'Financial Statements'!K8</f>
        <v>0.12000000000000002</v>
      </c>
      <c r="K4" s="86">
        <f>('Financial Statements'!M8-'Financial Statements'!L8)/'Financial Statements'!L8</f>
        <v>0.12000000000000013</v>
      </c>
      <c r="L4" s="86" t="e">
        <f>('Financial Statements'!#REF!-'Financial Statements'!M8)/'Financial Statements'!M8</f>
        <v>#REF!</v>
      </c>
    </row>
    <row r="5" spans="1:12" x14ac:dyDescent="0.3">
      <c r="A5" s="85" t="s">
        <v>347</v>
      </c>
      <c r="B5" s="86">
        <f>('Financial Statements'!D22-'Financial Statements'!C22)/'Financial Statements'!C22</f>
        <v>0.43013461205153386</v>
      </c>
      <c r="C5" s="86">
        <f>('Financial Statements'!E22-'Financial Statements'!D22)/'Financial Statements'!D22</f>
        <v>0.87745917864443201</v>
      </c>
      <c r="D5" s="86">
        <f>('Financial Statements'!F22-'Financial Statements'!E22)/'Financial Statements'!E22</f>
        <v>0.34736525013448094</v>
      </c>
      <c r="E5" s="86">
        <f>('Financial Statements'!G22-'Financial Statements'!F22)/'Financial Statements'!F22</f>
        <v>0.29081042753933317</v>
      </c>
      <c r="F5" s="86">
        <f>('Financial Statements'!H22-'Financial Statements'!G22)/'Financial Statements'!G22</f>
        <v>5.8751190785485539E-2</v>
      </c>
      <c r="G5" s="86">
        <f>('Financial Statements'!I22-'Financial Statements'!H22)/'Financial Statements'!H22</f>
        <v>-0.13261321581583771</v>
      </c>
      <c r="H5" s="86">
        <f>('Financial Statements'!J22-'Financial Statements'!I22)/'Financial Statements'!I22</f>
        <v>0.11999999999999983</v>
      </c>
      <c r="I5" s="86">
        <f>('Financial Statements'!K22-'Financial Statements'!J22)/'Financial Statements'!J22</f>
        <v>0.1200000000000007</v>
      </c>
      <c r="J5" s="86">
        <f>('Financial Statements'!L22-'Financial Statements'!K22)/'Financial Statements'!K22</f>
        <v>0.11999999999999912</v>
      </c>
      <c r="K5" s="86">
        <f>('Financial Statements'!M22-'Financial Statements'!L22)/'Financial Statements'!L22</f>
        <v>0.11999999999999986</v>
      </c>
      <c r="L5" s="86" t="e">
        <f>('Financial Statements'!#REF!-'Financial Statements'!M22)/'Financial Statements'!M22</f>
        <v>#REF!</v>
      </c>
    </row>
    <row r="6" spans="1:12" x14ac:dyDescent="0.3">
      <c r="A6" s="85" t="s">
        <v>348</v>
      </c>
      <c r="B6" s="86">
        <f>('Financial Statements'!D32-'Financial Statements'!C32)/'Financial Statements'!C32</f>
        <v>1.1617718500198737</v>
      </c>
      <c r="C6" s="86">
        <f>('Financial Statements'!E32-'Financial Statements'!D32)/'Financial Statements'!D32</f>
        <v>1.5949457598725205</v>
      </c>
      <c r="D6" s="86">
        <f>('Financial Statements'!F32-'Financial Statements'!E32)/'Financial Statements'!E32</f>
        <v>0.39752007557864905</v>
      </c>
      <c r="E6" s="86">
        <f>('Financial Statements'!G32-'Financial Statements'!F32)/'Financial Statements'!F32</f>
        <v>0.30714933554162227</v>
      </c>
      <c r="F6" s="86">
        <f>('Financial Statements'!H32-'Financial Statements'!G32)/'Financial Statements'!G32</f>
        <v>0.1535451395473115</v>
      </c>
      <c r="G6" s="86">
        <f>('Financial Statements'!I32-'Financial Statements'!H32)/'Financial Statements'!H32</f>
        <v>-0.16024370009751124</v>
      </c>
      <c r="H6" s="86">
        <f>('Financial Statements'!J32-'Financial Statements'!I32)/'Financial Statements'!I32</f>
        <v>0.10629717698802527</v>
      </c>
      <c r="I6" s="86">
        <f>('Financial Statements'!K32-'Financial Statements'!J32)/'Financial Statements'!J32</f>
        <v>0.10701940552408952</v>
      </c>
      <c r="J6" s="86">
        <f>('Financial Statements'!L32-'Financial Statements'!K32)/'Financial Statements'!K32</f>
        <v>0.10782809158330137</v>
      </c>
      <c r="K6" s="86">
        <f>('Financial Statements'!M32-'Financial Statements'!L32)/'Financial Statements'!L32</f>
        <v>0.10867783207578093</v>
      </c>
      <c r="L6" s="86" t="e">
        <f>('Financial Statements'!#REF!-'Financial Statements'!M32)/'Financial Statements'!M32</f>
        <v>#REF!</v>
      </c>
    </row>
    <row r="7" spans="1:12" ht="15" thickBot="1" x14ac:dyDescent="0.35">
      <c r="A7" s="87" t="s">
        <v>349</v>
      </c>
      <c r="B7" s="88">
        <f>('Financial Statements'!D37-'Financial Statements'!C37)/'Financial Statements'!C37</f>
        <v>0.44132653061224503</v>
      </c>
      <c r="C7" s="88">
        <f>('Financial Statements'!E37-'Financial Statements'!D37)/'Financial Statements'!D37</f>
        <v>0.73097345132743341</v>
      </c>
      <c r="D7" s="88">
        <f>('Financial Statements'!F37-'Financial Statements'!E37)/'Financial Statements'!E37</f>
        <v>-0.30163599182004086</v>
      </c>
      <c r="E7" s="88">
        <f>('Financial Statements'!G37-'Financial Statements'!F37)/'Financial Statements'!F37</f>
        <v>-0.49780380673499264</v>
      </c>
      <c r="F7" s="88">
        <f>('Financial Statements'!H37-'Financial Statements'!G37)/'Financial Statements'!G37</f>
        <v>0.15306122448979589</v>
      </c>
      <c r="G7" s="88">
        <f>('Financial Statements'!I37-'Financial Statements'!H37)/'Financial Statements'!H37</f>
        <v>-0.16024370009751127</v>
      </c>
      <c r="H7" s="88">
        <f>('Financial Statements'!J37-'Financial Statements'!I37)/'Financial Statements'!I37</f>
        <v>0.10629717698802529</v>
      </c>
      <c r="I7" s="88">
        <f>('Financial Statements'!K37-'Financial Statements'!J37)/'Financial Statements'!J37</f>
        <v>0.10701940552408973</v>
      </c>
      <c r="J7" s="88">
        <f>('Financial Statements'!L37-'Financial Statements'!K37)/'Financial Statements'!K37</f>
        <v>0.10782809158330134</v>
      </c>
      <c r="K7" s="88">
        <f>('Financial Statements'!M37-'Financial Statements'!L37)/'Financial Statements'!L37</f>
        <v>0.10867783207578073</v>
      </c>
      <c r="L7" s="88" t="e">
        <f>('Financial Statements'!#REF!-'Financial Statements'!M37)/'Financial Statements'!M37</f>
        <v>#REF!</v>
      </c>
    </row>
    <row r="8" spans="1:12" ht="15" thickBot="1" x14ac:dyDescent="0.35">
      <c r="A8" s="84"/>
      <c r="B8" s="84"/>
    </row>
    <row r="9" spans="1:12" ht="28.8" x14ac:dyDescent="0.3">
      <c r="A9" s="217" t="s">
        <v>350</v>
      </c>
      <c r="B9" s="218" t="s">
        <v>299</v>
      </c>
      <c r="C9" s="218" t="s">
        <v>300</v>
      </c>
      <c r="D9" s="218" t="s">
        <v>301</v>
      </c>
      <c r="E9" s="218" t="s">
        <v>302</v>
      </c>
      <c r="F9" s="218" t="s">
        <v>303</v>
      </c>
      <c r="G9" s="218" t="s">
        <v>304</v>
      </c>
      <c r="H9" s="218" t="s">
        <v>305</v>
      </c>
      <c r="I9" s="218" t="s">
        <v>306</v>
      </c>
      <c r="J9" s="218" t="s">
        <v>307</v>
      </c>
      <c r="K9" s="218" t="s">
        <v>308</v>
      </c>
      <c r="L9" s="218" t="s">
        <v>309</v>
      </c>
    </row>
    <row r="10" spans="1:12" x14ac:dyDescent="0.3">
      <c r="A10" s="85" t="s">
        <v>351</v>
      </c>
      <c r="B10" s="86">
        <f>'Financial Statements'!C22/'Financial Statements'!C8</f>
        <v>0.17747541756810797</v>
      </c>
      <c r="C10" s="86">
        <f>'Financial Statements'!D22/'Financial Statements'!D8</f>
        <v>0.18765293962466684</v>
      </c>
      <c r="D10" s="86">
        <f>'Financial Statements'!E22/'Financial Statements'!E8</f>
        <v>0.2193079730422251</v>
      </c>
      <c r="E10" s="86">
        <f>'Financial Statements'!F22/'Financial Statements'!F8</f>
        <v>0.2478415366944699</v>
      </c>
      <c r="F10" s="86">
        <f>'Financial Statements'!G22/'Financial Statements'!G8</f>
        <v>0.28166162552444141</v>
      </c>
      <c r="G10" s="86">
        <f>'Financial Statements'!H22/'Financial Statements'!H8</f>
        <v>0.29394400700152923</v>
      </c>
      <c r="H10" s="86">
        <f>'Financial Statements'!I22/'Financial Statements'!I8</f>
        <v>0.22764566693148505</v>
      </c>
      <c r="I10" s="86">
        <f>'Financial Statements'!J22/'Financial Statements'!J8</f>
        <v>0.227645666931485</v>
      </c>
      <c r="J10" s="86">
        <f>'Financial Statements'!K22/'Financial Statements'!K8</f>
        <v>0.22764566693148511</v>
      </c>
      <c r="K10" s="86">
        <f>'Financial Statements'!L22/'Financial Statements'!L8</f>
        <v>0.22764566693148494</v>
      </c>
      <c r="L10" s="86">
        <f>'Financial Statements'!M22/'Financial Statements'!M8</f>
        <v>0.22764566693148489</v>
      </c>
    </row>
    <row r="11" spans="1:12" x14ac:dyDescent="0.3">
      <c r="A11" s="85" t="s">
        <v>352</v>
      </c>
      <c r="B11" s="89">
        <f>'Financial Statements'!C22</f>
        <v>865.45</v>
      </c>
      <c r="C11" s="89">
        <f>'Financial Statements'!D22</f>
        <v>1237.71</v>
      </c>
      <c r="D11" s="89">
        <f>'Financial Statements'!E22</f>
        <v>2323.75</v>
      </c>
      <c r="E11" s="89">
        <f>'Financial Statements'!F22</f>
        <v>3130.94</v>
      </c>
      <c r="F11" s="89">
        <f>'Financial Statements'!G22</f>
        <v>4041.45</v>
      </c>
      <c r="G11" s="89">
        <f>'Financial Statements'!H22</f>
        <v>4278.8900000000003</v>
      </c>
      <c r="H11" s="89">
        <f>'Financial Statements'!I22</f>
        <v>3711.4526369777705</v>
      </c>
      <c r="I11" s="89">
        <f>'Financial Statements'!J22</f>
        <v>4156.8269534151023</v>
      </c>
      <c r="J11" s="89">
        <f>'Financial Statements'!K22</f>
        <v>4655.6461878249174</v>
      </c>
      <c r="K11" s="89">
        <f>'Financial Statements'!L22</f>
        <v>5214.3237303639035</v>
      </c>
      <c r="L11" s="89">
        <f>'Financial Statements'!M22</f>
        <v>5840.0425780075711</v>
      </c>
    </row>
    <row r="12" spans="1:12" x14ac:dyDescent="0.3">
      <c r="A12" s="85" t="s">
        <v>353</v>
      </c>
      <c r="B12" s="86">
        <f>'Financial Statements'!C27</f>
        <v>0.12621886823406372</v>
      </c>
      <c r="C12" s="86">
        <f>'Financial Statements'!D27</f>
        <v>0.16394824538262576</v>
      </c>
      <c r="D12" s="86">
        <f>'Financial Statements'!E27</f>
        <v>0.20457387481679115</v>
      </c>
      <c r="E12" s="86">
        <f>'Financial Statements'!F27</f>
        <v>0.22849116152121099</v>
      </c>
      <c r="F12" s="86">
        <f>'Financial Statements'!G27</f>
        <v>0.25701810629608463</v>
      </c>
      <c r="G12" s="86">
        <f>'Financial Statements'!H27</f>
        <v>0.29166191517103324</v>
      </c>
      <c r="H12" s="86">
        <f>'Financial Statements'!I27</f>
        <v>0.17614434953989944</v>
      </c>
      <c r="I12" s="86">
        <f>'Financial Statements'!J27</f>
        <v>0.1734035886040354</v>
      </c>
      <c r="J12" s="86">
        <f>'Financial Statements'!K27</f>
        <v>0.17095648062558552</v>
      </c>
      <c r="K12" s="86">
        <f>'Financial Statements'!L27</f>
        <v>0.16877156278768354</v>
      </c>
      <c r="L12" s="86">
        <f>'Financial Statements'!M27</f>
        <v>0.1668207432895569</v>
      </c>
    </row>
    <row r="13" spans="1:12" x14ac:dyDescent="0.3">
      <c r="A13" s="85" t="s">
        <v>354</v>
      </c>
      <c r="B13" s="89">
        <f>'Financial Statements'!C32</f>
        <v>226.43</v>
      </c>
      <c r="C13" s="89">
        <f>'Financial Statements'!D32</f>
        <v>489.49</v>
      </c>
      <c r="D13" s="89">
        <f>'Financial Statements'!E32</f>
        <v>1270.2</v>
      </c>
      <c r="E13" s="89">
        <f>'Financial Statements'!F32</f>
        <v>1775.13</v>
      </c>
      <c r="F13" s="89">
        <f>'Financial Statements'!G32</f>
        <v>2320.36</v>
      </c>
      <c r="G13" s="89">
        <f>'Financial Statements'!H32</f>
        <v>2676.64</v>
      </c>
      <c r="H13" s="89">
        <f>'Financial Statements'!I32</f>
        <v>2247.7253025709974</v>
      </c>
      <c r="I13" s="89">
        <f>'Financial Statements'!J32</f>
        <v>2486.6521568788494</v>
      </c>
      <c r="J13" s="89">
        <f>'Financial Statements'!K32</f>
        <v>2752.7721924532188</v>
      </c>
      <c r="K13" s="89">
        <f>'Financial Statements'!L32</f>
        <v>3049.5983645290298</v>
      </c>
      <c r="L13" s="89">
        <f>'Financial Statements'!M32</f>
        <v>3381.0221034878919</v>
      </c>
    </row>
    <row r="14" spans="1:12" x14ac:dyDescent="0.3">
      <c r="A14" s="85" t="s">
        <v>355</v>
      </c>
      <c r="B14" s="210">
        <f>'Financial Statements'!C33</f>
        <v>4.6433368536537852E-2</v>
      </c>
      <c r="C14" s="210">
        <f>'Financial Statements'!D33</f>
        <v>7.4213052667327709E-2</v>
      </c>
      <c r="D14" s="210">
        <f>'Financial Statements'!E33</f>
        <v>0.11987734797557152</v>
      </c>
      <c r="E14" s="210">
        <f>'Financial Statements'!F33</f>
        <v>0.14051720794153014</v>
      </c>
      <c r="F14" s="210">
        <f>'Financial Statements'!G33</f>
        <v>0.16171333788662309</v>
      </c>
      <c r="G14" s="210">
        <f>'Financial Statements'!H33</f>
        <v>0.18387532441838259</v>
      </c>
      <c r="H14" s="210">
        <f>'Financial Statements'!I33</f>
        <v>0.13786648399727738</v>
      </c>
      <c r="I14" s="210">
        <f>'Financial Statements'!J33</f>
        <v>0.13617973397093994</v>
      </c>
      <c r="J14" s="210">
        <f>'Financial Statements'!K33</f>
        <v>0.13460143584369516</v>
      </c>
      <c r="K14" s="210">
        <f>'Financial Statements'!L33</f>
        <v>0.13313861767419016</v>
      </c>
      <c r="L14" s="210">
        <f>'Financial Statements'!M33</f>
        <v>0.13179270893623873</v>
      </c>
    </row>
    <row r="15" spans="1:12" x14ac:dyDescent="0.3">
      <c r="A15" s="85" t="s">
        <v>356</v>
      </c>
      <c r="B15" s="86">
        <f>'Financial Statements'!C32/'Financial Statements'!C47</f>
        <v>5.6441421118359231E-2</v>
      </c>
      <c r="C15" s="86">
        <f>'Financial Statements'!D32/'Financial Statements'!D47</f>
        <v>0.11128262955199586</v>
      </c>
      <c r="D15" s="86">
        <f>'Financial Statements'!E32/'Financial Statements'!E47</f>
        <v>0.23021713125747637</v>
      </c>
      <c r="E15" s="86">
        <f>'Financial Statements'!F32/'Financial Statements'!F47</f>
        <v>0.25088580938314881</v>
      </c>
      <c r="F15" s="86">
        <f>'Financial Statements'!G32/'Financial Statements'!G47</f>
        <v>0.14012927335523118</v>
      </c>
      <c r="G15" s="86">
        <f>'Financial Statements'!H32/'Financial Statements'!H47</f>
        <v>0.1426435940575117</v>
      </c>
      <c r="H15" s="86">
        <f>'Financial Statements'!I32/'Financial Statements'!I47</f>
        <v>0.10819740853674674</v>
      </c>
      <c r="I15" s="86">
        <f>'Financial Statements'!J32/'Financial Statements'!J47</f>
        <v>0.10812612138176839</v>
      </c>
      <c r="J15" s="86">
        <f>'Financial Statements'!K32/'Financial Statements'!K47</f>
        <v>0.10812549061594263</v>
      </c>
      <c r="K15" s="86">
        <f>'Financial Statements'!L32/'Financial Statements'!L47</f>
        <v>0.10819626563592692</v>
      </c>
      <c r="L15" s="86">
        <f>'Financial Statements'!M32/'Financial Statements'!M47</f>
        <v>0.10833522698865539</v>
      </c>
    </row>
    <row r="16" spans="1:12" ht="15" thickBot="1" x14ac:dyDescent="0.35">
      <c r="A16" s="87" t="s">
        <v>357</v>
      </c>
      <c r="B16" s="88">
        <f>'Financial Statements'!C32/('Financial Statements'!C67-'Financial Statements'!C55)</f>
        <v>3.5440878391597992E-2</v>
      </c>
      <c r="C16" s="88">
        <f>'Financial Statements'!D32/('Financial Statements'!D67-'Financial Statements'!D55)</f>
        <v>7.3961980196822957E-2</v>
      </c>
      <c r="D16" s="88">
        <f>'Financial Statements'!E32/('Financial Statements'!E67-'Financial Statements'!E55)</f>
        <v>0.16283300194984249</v>
      </c>
      <c r="E16" s="88">
        <f>'Financial Statements'!F32/('Financial Statements'!F67-'Financial Statements'!F55)</f>
        <v>0.16564425765080459</v>
      </c>
      <c r="F16" s="88">
        <f>'Financial Statements'!G32/('Financial Statements'!G67-'Financial Statements'!G55)</f>
        <v>0.13404233809822277</v>
      </c>
      <c r="G16" s="88">
        <f>'Financial Statements'!H32/('Financial Statements'!H67-'Financial Statements'!H55)</f>
        <v>0.13571071123092529</v>
      </c>
      <c r="H16" s="88">
        <f>'Financial Statements'!I32/('Financial Statements'!I67-'Financial Statements'!I55)</f>
        <v>0.10373889971385455</v>
      </c>
      <c r="I16" s="88">
        <f>'Financial Statements'!J32/('Financial Statements'!J67-'Financial Statements'!J55)</f>
        <v>0.10423339975137619</v>
      </c>
      <c r="J16" s="88">
        <f>'Financial Statements'!K32/('Financial Statements'!K67-'Financial Statements'!K55)</f>
        <v>0.10471171691781396</v>
      </c>
      <c r="K16" s="88">
        <f>'Financial Statements'!L32/('Financial Statements'!L67-'Financial Statements'!L55)</f>
        <v>0.10519023814581265</v>
      </c>
      <c r="L16" s="88">
        <f>'Financial Statements'!M32/('Financial Statements'!M67-'Financial Statements'!M55)</f>
        <v>0.10567841349283211</v>
      </c>
    </row>
    <row r="17" spans="1:12" ht="15" thickBot="1" x14ac:dyDescent="0.35">
      <c r="A17" s="84"/>
      <c r="B17" s="84"/>
    </row>
    <row r="18" spans="1:12" ht="28.8" x14ac:dyDescent="0.3">
      <c r="A18" s="217" t="s">
        <v>358</v>
      </c>
      <c r="B18" s="218" t="s">
        <v>299</v>
      </c>
      <c r="C18" s="218" t="s">
        <v>300</v>
      </c>
      <c r="D18" s="218" t="s">
        <v>301</v>
      </c>
      <c r="E18" s="218" t="s">
        <v>302</v>
      </c>
      <c r="F18" s="218" t="s">
        <v>303</v>
      </c>
      <c r="G18" s="218" t="s">
        <v>304</v>
      </c>
      <c r="H18" s="218" t="s">
        <v>305</v>
      </c>
      <c r="I18" s="218" t="s">
        <v>306</v>
      </c>
      <c r="J18" s="218" t="s">
        <v>307</v>
      </c>
      <c r="K18" s="218" t="s">
        <v>308</v>
      </c>
      <c r="L18" s="218" t="s">
        <v>309</v>
      </c>
    </row>
    <row r="19" spans="1:12" x14ac:dyDescent="0.3">
      <c r="A19" s="85" t="s">
        <v>359</v>
      </c>
      <c r="B19" s="90">
        <f>DCF!$B$10/'Financial Statements'!C37</f>
        <v>53.571428571428569</v>
      </c>
      <c r="C19" s="90">
        <f>DCF!$B$10/'Financial Statements'!D37</f>
        <v>37.16814159292035</v>
      </c>
      <c r="D19" s="90">
        <f>DCF!$B$10/'Financial Statements'!E37</f>
        <v>21.472392638036812</v>
      </c>
      <c r="E19" s="90">
        <f>DCF!$B$10/'Financial Statements'!F37</f>
        <v>30.746705710102489</v>
      </c>
      <c r="F19" s="90">
        <f>DCF!$B$10/'Financial Statements'!G37</f>
        <v>61.224489795918366</v>
      </c>
      <c r="G19" s="90">
        <f>DCF!$B$10/'Financial Statements'!H37</f>
        <v>53.097345132743364</v>
      </c>
      <c r="H19" s="90">
        <f>DCF!$B$10/'Financial Statements'!I37</f>
        <v>63.2294692387648</v>
      </c>
      <c r="I19" s="90">
        <f>DCF!$B$10/'Financial Statements'!J37</f>
        <v>57.154144974781225</v>
      </c>
      <c r="J19" s="90">
        <f>DCF!$B$10/'Financial Statements'!K37</f>
        <v>51.62885554632448</v>
      </c>
      <c r="K19" s="90">
        <f>DCF!$B$10/'Financial Statements'!L37</f>
        <v>46.603670676500741</v>
      </c>
      <c r="L19" s="90">
        <f>DCF!$B$10/'Financial Statements'!M37</f>
        <v>42.035358990848181</v>
      </c>
    </row>
    <row r="20" spans="1:12" x14ac:dyDescent="0.3">
      <c r="A20" s="85" t="s">
        <v>360</v>
      </c>
      <c r="B20" s="90">
        <f>DCF!$B$10/('Financial Statements'!C47/'Financial Statements'!C45)</f>
        <v>30.223517300343737</v>
      </c>
      <c r="C20" s="90">
        <f>DCF!$B$10/('Financial Statements'!D47/'Financial Statements'!D45)</f>
        <v>41.347649944755396</v>
      </c>
      <c r="D20" s="90">
        <f>DCF!$B$10/('Financial Statements'!E47/'Financial Statements'!E45)</f>
        <v>49.445572189799549</v>
      </c>
      <c r="E20" s="90">
        <f>DCF!$B$10/('Financial Statements'!F47/'Financial Statements'!F45)</f>
        <v>38.56096785363475</v>
      </c>
      <c r="F20" s="90">
        <f>DCF!$B$10/('Financial Statements'!G47/'Financial Statements'!G45)</f>
        <v>17.153872493690631</v>
      </c>
      <c r="G20" s="90">
        <f>DCF!$B$10/('Financial Statements'!H47/'Financial Statements'!H45)</f>
        <v>15.139627797765252</v>
      </c>
      <c r="H20" s="90">
        <f>DCF!$B$10/('Financial Statements'!I47/'Financial Statements'!I45)</f>
        <v>13.674974144406786</v>
      </c>
      <c r="I20" s="90">
        <f>DCF!$B$10/('Financial Statements'!J47/'Financial Statements'!J45)</f>
        <v>12.352887188555973</v>
      </c>
      <c r="J20" s="90">
        <f>DCF!$B$10/('Financial Statements'!K47/'Financial Statements'!K45)</f>
        <v>11.158625643746918</v>
      </c>
      <c r="K20" s="90">
        <f>DCF!$B$10/('Financial Statements'!L47/'Financial Statements'!L45)</f>
        <v>10.07911765349014</v>
      </c>
      <c r="L20" s="90">
        <f>DCF!$B$10/('Financial Statements'!M47/'Financial Statements'!M45)</f>
        <v>9.1027911154451129</v>
      </c>
    </row>
    <row r="21" spans="1:12" x14ac:dyDescent="0.3">
      <c r="A21" s="85" t="s">
        <v>361</v>
      </c>
      <c r="B21" s="90">
        <f>DCF!$K$21/'Financial Statements'!C22</f>
        <v>15.464736645436689</v>
      </c>
      <c r="C21" s="90">
        <f>DCF!$K$21/'Financial Statements'!D22</f>
        <v>10.813483230961358</v>
      </c>
      <c r="D21" s="90">
        <f>DCF!$K$21/'Financial Statements'!E22</f>
        <v>5.7596369358980883</v>
      </c>
      <c r="E21" s="90">
        <f>DCF!$K$21/'Financial Statements'!F22</f>
        <v>4.2747405986039926</v>
      </c>
      <c r="F21" s="90">
        <f>DCF!$K$21/'Financial Statements'!G22</f>
        <v>3.3116718825652138</v>
      </c>
      <c r="G21" s="90">
        <f>DCF!$K$21/'Financial Statements'!H22</f>
        <v>3.127903809117127</v>
      </c>
      <c r="H21" s="90">
        <f>DCF!$K$21/'Financial Statements'!I22</f>
        <v>3.6061234343789756</v>
      </c>
      <c r="I21" s="90">
        <f>DCF!$K$21/'Financial Statements'!J22</f>
        <v>3.2197530664098002</v>
      </c>
      <c r="J21" s="90">
        <f>DCF!$K$21/'Financial Statements'!K22</f>
        <v>2.8747795235801772</v>
      </c>
      <c r="K21" s="90">
        <f>DCF!$K$21/'Financial Statements'!L22</f>
        <v>2.5667674317680174</v>
      </c>
      <c r="L21" s="90">
        <f>DCF!$K$21/'Financial Statements'!M22</f>
        <v>2.2917566355071584</v>
      </c>
    </row>
    <row r="22" spans="1:12" x14ac:dyDescent="0.3">
      <c r="A22" s="85" t="s">
        <v>338</v>
      </c>
      <c r="B22" s="90">
        <f>DCF!$K$21/'Financial Statements'!C8</f>
        <v>2.7446105937296976</v>
      </c>
      <c r="C22" s="90">
        <f>DCF!$K$21/'Financial Statements'!D8</f>
        <v>2.0291819158719391</v>
      </c>
      <c r="D22" s="90">
        <f>DCF!$K$21/'Financial Statements'!E8</f>
        <v>1.263134301870942</v>
      </c>
      <c r="E22" s="90">
        <f>DCF!$K$21/'Financial Statements'!F8</f>
        <v>1.0594582789282516</v>
      </c>
      <c r="F22" s="90">
        <f>DCF!$K$21/'Financial Statements'!G8</f>
        <v>0.93277088564690513</v>
      </c>
      <c r="G22" s="90">
        <f>DCF!$K$21/'Financial Statements'!H8</f>
        <v>0.91942857916723464</v>
      </c>
      <c r="H22" s="90">
        <f>DCF!$K$21/'Financial Statements'!I8</f>
        <v>0.8209183742564593</v>
      </c>
      <c r="I22" s="90">
        <f>DCF!$K$21/'Financial Statements'!J8</f>
        <v>0.73296283415755292</v>
      </c>
      <c r="J22" s="90">
        <f>DCF!$K$21/'Financial Statements'!K8</f>
        <v>0.65443110192638643</v>
      </c>
      <c r="K22" s="90">
        <f>DCF!$K$21/'Financial Statements'!L8</f>
        <v>0.58431348386284498</v>
      </c>
      <c r="L22" s="90">
        <f>DCF!$K$21/'Financial Statements'!M8</f>
        <v>0.52170846773468305</v>
      </c>
    </row>
    <row r="23" spans="1:12" ht="15" thickBot="1" x14ac:dyDescent="0.35">
      <c r="A23" s="84"/>
      <c r="B23" s="84"/>
    </row>
    <row r="24" spans="1:12" ht="28.8" x14ac:dyDescent="0.3">
      <c r="A24" s="217" t="s">
        <v>362</v>
      </c>
      <c r="B24" s="218" t="s">
        <v>299</v>
      </c>
      <c r="C24" s="218" t="s">
        <v>300</v>
      </c>
      <c r="D24" s="218" t="s">
        <v>301</v>
      </c>
      <c r="E24" s="218" t="s">
        <v>302</v>
      </c>
      <c r="F24" s="218" t="s">
        <v>303</v>
      </c>
      <c r="G24" s="218" t="s">
        <v>304</v>
      </c>
      <c r="H24" s="218" t="s">
        <v>305</v>
      </c>
      <c r="I24" s="218" t="s">
        <v>306</v>
      </c>
      <c r="J24" s="218" t="s">
        <v>307</v>
      </c>
      <c r="K24" s="218" t="s">
        <v>308</v>
      </c>
      <c r="L24" s="218" t="s">
        <v>309</v>
      </c>
    </row>
    <row r="25" spans="1:12" x14ac:dyDescent="0.3">
      <c r="A25" s="85" t="s">
        <v>363</v>
      </c>
      <c r="B25" s="89">
        <f>Assumptions!C31</f>
        <v>111.7071313001113</v>
      </c>
      <c r="C25" s="89">
        <f>Assumptions!D31</f>
        <v>121.4225923799778</v>
      </c>
      <c r="D25" s="89">
        <f>Assumptions!E31</f>
        <v>93.296116670161609</v>
      </c>
      <c r="E25" s="89">
        <f>Assumptions!F31</f>
        <v>92.626090304202933</v>
      </c>
      <c r="F25" s="89">
        <f>Assumptions!G31</f>
        <v>93.886672637597982</v>
      </c>
      <c r="G25" s="89">
        <f>Assumptions!H31</f>
        <v>89.812298382611402</v>
      </c>
      <c r="H25" s="89">
        <f>Assumptions!I31</f>
        <v>100.45848361244384</v>
      </c>
      <c r="I25" s="89">
        <f>Assumptions!J31</f>
        <v>100.45848361244384</v>
      </c>
      <c r="J25" s="89">
        <f>Assumptions!K31</f>
        <v>100.45848361244384</v>
      </c>
      <c r="K25" s="89">
        <f>Assumptions!L31</f>
        <v>100.45848361244384</v>
      </c>
      <c r="L25" s="89">
        <f>Assumptions!M31</f>
        <v>100.45848361244384</v>
      </c>
    </row>
    <row r="26" spans="1:12" x14ac:dyDescent="0.3">
      <c r="A26" s="85" t="s">
        <v>364</v>
      </c>
      <c r="B26" s="89">
        <f>Assumptions!C33</f>
        <v>44.756220676849303</v>
      </c>
      <c r="C26" s="89">
        <f>Assumptions!D33</f>
        <v>52.776983938800214</v>
      </c>
      <c r="D26" s="89">
        <f>Assumptions!E33</f>
        <v>37.667125489964135</v>
      </c>
      <c r="E26" s="89">
        <f>Assumptions!F33</f>
        <v>29.663362639432538</v>
      </c>
      <c r="F26" s="89">
        <f>Assumptions!G33</f>
        <v>31.013497046521472</v>
      </c>
      <c r="G26" s="89">
        <f>Assumptions!H33</f>
        <v>24.249423420617436</v>
      </c>
      <c r="H26" s="89">
        <f>Assumptions!I33</f>
        <v>36.687768868697518</v>
      </c>
      <c r="I26" s="89">
        <f>Assumptions!J33</f>
        <v>36.687768868697518</v>
      </c>
      <c r="J26" s="89">
        <f>Assumptions!K33</f>
        <v>36.687768868697518</v>
      </c>
      <c r="K26" s="89">
        <f>Assumptions!L33</f>
        <v>36.687768868697518</v>
      </c>
      <c r="L26" s="89">
        <f>Assumptions!M33</f>
        <v>36.687768868697518</v>
      </c>
    </row>
    <row r="27" spans="1:12" x14ac:dyDescent="0.3">
      <c r="A27" s="85" t="s">
        <v>365</v>
      </c>
      <c r="B27" s="89">
        <f>Assumptions!C32</f>
        <v>12.764090680720608</v>
      </c>
      <c r="C27" s="89">
        <f>Assumptions!D32</f>
        <v>7.308588573837052</v>
      </c>
      <c r="D27" s="89">
        <f>Assumptions!E32</f>
        <v>5.1753944712212263</v>
      </c>
      <c r="E27" s="89">
        <f>Assumptions!F32</f>
        <v>6.1524693991765904</v>
      </c>
      <c r="F27" s="89">
        <f>Assumptions!G32</f>
        <v>5.081499240344006</v>
      </c>
      <c r="G27" s="89">
        <f>Assumptions!H32</f>
        <v>6.6749915160041819</v>
      </c>
      <c r="H27" s="89">
        <f>Assumptions!I32</f>
        <v>7.1928389802172781</v>
      </c>
      <c r="I27" s="89">
        <f>Assumptions!J32</f>
        <v>7.1928389802172781</v>
      </c>
      <c r="J27" s="89">
        <f>Assumptions!K32</f>
        <v>7.1928389802172781</v>
      </c>
      <c r="K27" s="89">
        <f>Assumptions!L32</f>
        <v>7.1928389802172781</v>
      </c>
      <c r="L27" s="89">
        <f>Assumptions!M32</f>
        <v>7.1928389802172781</v>
      </c>
    </row>
    <row r="28" spans="1:12" x14ac:dyDescent="0.3">
      <c r="A28" s="85" t="s">
        <v>366</v>
      </c>
      <c r="B28" s="89">
        <f>'Financial Statements'!C8/'Financial Statements'!C67</f>
        <v>0.58776699286572642</v>
      </c>
      <c r="C28" s="89">
        <f>'Financial Statements'!D8/'Financial Statements'!D67</f>
        <v>0.72755531337073465</v>
      </c>
      <c r="D28" s="89">
        <f>'Financial Statements'!E8/'Financial Statements'!E67</f>
        <v>0.95725787654463745</v>
      </c>
      <c r="E28" s="89">
        <f>'Financial Statements'!F8/'Financial Statements'!F67</f>
        <v>0.90173568431616924</v>
      </c>
      <c r="F28" s="89">
        <f>'Financial Statements'!G8/'Financial Statements'!G67</f>
        <v>0.73643102509396186</v>
      </c>
      <c r="G28" s="89">
        <f>'Financial Statements'!H8/'Financial Statements'!H67</f>
        <v>0.69317299253771492</v>
      </c>
      <c r="H28" s="89">
        <f>'Financial Statements'!I8/'Financial Statements'!I67</f>
        <v>0.70212184294264013</v>
      </c>
      <c r="I28" s="89">
        <f>'Financial Statements'!J8/'Financial Statements'!J67</f>
        <v>0.71738585571209146</v>
      </c>
      <c r="J28" s="89">
        <f>'Financial Statements'!K8/'Financial Statements'!K67</f>
        <v>0.73181074526641998</v>
      </c>
      <c r="K28" s="89">
        <f>'Financial Statements'!L8/'Financial Statements'!L67</f>
        <v>0.74549079789872896</v>
      </c>
      <c r="L28" s="89">
        <f>'Financial Statements'!M8/'Financial Statements'!M67</f>
        <v>0.75849579914338472</v>
      </c>
    </row>
    <row r="29" spans="1:12" x14ac:dyDescent="0.3">
      <c r="A29" s="85" t="s">
        <v>367</v>
      </c>
      <c r="B29" s="89">
        <f>'Financial Statements'!C66/'Financial Statements'!C55</f>
        <v>0.66390580933309573</v>
      </c>
      <c r="C29" s="89">
        <f>'Financial Statements'!D66/'Financial Statements'!D55</f>
        <v>0.72246260454588174</v>
      </c>
      <c r="D29" s="89">
        <f>'Financial Statements'!E66/'Financial Statements'!E55</f>
        <v>0.75020423399249159</v>
      </c>
      <c r="E29" s="89">
        <f>'Financial Statements'!F66/'Financial Statements'!F55</f>
        <v>0.89134026128626698</v>
      </c>
      <c r="F29" s="89">
        <f>'Financial Statements'!G66/'Financial Statements'!G55</f>
        <v>2.4561730440064049</v>
      </c>
      <c r="G29" s="89">
        <f>'Financial Statements'!H66/'Financial Statements'!H55</f>
        <v>3.9925380146264304</v>
      </c>
      <c r="H29" s="89">
        <f>'Financial Statements'!I66/'Financial Statements'!I55</f>
        <v>3.8569620302513035</v>
      </c>
      <c r="I29" s="89">
        <f>'Financial Statements'!J66/'Financial Statements'!J55</f>
        <v>4.3462760896303374</v>
      </c>
      <c r="J29" s="89">
        <f>'Financial Statements'!K66/'Financial Statements'!K55</f>
        <v>4.532674110740424</v>
      </c>
      <c r="K29" s="89">
        <f>'Financial Statements'!L66/'Financial Statements'!L55</f>
        <v>4.5041802786680059</v>
      </c>
      <c r="L29" s="89">
        <f>'Financial Statements'!M66/'Financial Statements'!M55</f>
        <v>4.3256725257736308</v>
      </c>
    </row>
    <row r="30" spans="1:12" x14ac:dyDescent="0.3">
      <c r="A30" s="85" t="s">
        <v>368</v>
      </c>
      <c r="B30" s="89">
        <f>('Financial Statements'!C48+'Financial Statements'!C52)/'Financial Statements'!C47</f>
        <v>0.64557290173663995</v>
      </c>
      <c r="C30" s="89">
        <f>('Financial Statements'!D48+'Financial Statements'!D52)/'Financial Statements'!D47</f>
        <v>0.72052825658956676</v>
      </c>
      <c r="D30" s="89">
        <f>('Financial Statements'!E48+'Financial Statements'!E52)/'Financial Statements'!E47</f>
        <v>0.62925472142675898</v>
      </c>
      <c r="E30" s="89">
        <f>('Financial Statements'!F48+'Financial Statements'!F52)/'Financial Statements'!F47</f>
        <v>0.67276427647711468</v>
      </c>
      <c r="F30" s="89">
        <f>('Financial Statements'!G48+'Financial Statements'!G52)/'Financial Statements'!G47</f>
        <v>5.0217680000434826E-2</v>
      </c>
      <c r="G30" s="89">
        <f>('Financial Statements'!H48+'Financial Statements'!H52)/'Financial Statements'!H47</f>
        <v>2.0041535812514357E-2</v>
      </c>
      <c r="H30" s="89">
        <f>('Financial Statements'!I48+'Financial Statements'!I52)/'Financial Statements'!I47</f>
        <v>1.5123278136725501E-2</v>
      </c>
      <c r="I30" s="89">
        <f>('Financial Statements'!J48+'Financial Statements'!J52)/'Financial Statements'!J47</f>
        <v>1.1421227738934095E-2</v>
      </c>
      <c r="J30" s="89">
        <f>('Financial Statements'!K48+'Financial Statements'!K52)/'Financial Statements'!K47</f>
        <v>8.6316231394919282E-3</v>
      </c>
      <c r="K30" s="89">
        <f>('Financial Statements'!L48+'Financial Statements'!L52)/'Financial Statements'!L47</f>
        <v>6.5274772858474571E-3</v>
      </c>
      <c r="L30" s="89">
        <f>('Financial Statements'!M48+'Financial Statements'!M52)/'Financial Statements'!M47</f>
        <v>4.938932598562336E-3</v>
      </c>
    </row>
    <row r="31" spans="1:12" ht="15" thickBot="1" x14ac:dyDescent="0.35">
      <c r="A31" s="87" t="s">
        <v>369</v>
      </c>
      <c r="B31" s="91">
        <f>'Financial Statements'!C29/'Financial Statements'!C26</f>
        <v>0.40609260763606819</v>
      </c>
      <c r="C31" s="91">
        <f>'Financial Statements'!D29/'Financial Statements'!D26</f>
        <v>0.14458644669675225</v>
      </c>
      <c r="D31" s="91">
        <f>'Financial Statements'!E29/'Financial Statements'!E26</f>
        <v>7.2023361920622989E-2</v>
      </c>
      <c r="E31" s="91">
        <f>'Financial Statements'!F29/'Financial Statements'!F26</f>
        <v>8.4687630998201965E-2</v>
      </c>
      <c r="F31" s="91">
        <f>'Financial Statements'!G29/'Financial Statements'!G26</f>
        <v>9.5882424719009735E-2</v>
      </c>
      <c r="G31" s="91">
        <f>'Financial Statements'!H29/'Financial Statements'!H26</f>
        <v>7.8244423141694951E-3</v>
      </c>
      <c r="H31" s="91">
        <f>'Financial Statements'!I29/'Financial Statements'!I26</f>
        <v>1.3779587778597774E-2</v>
      </c>
      <c r="I31" s="91">
        <f>'Financial Statements'!J29/'Financial Statements'!J26</f>
        <v>1.044849474832857E-2</v>
      </c>
      <c r="J31" s="91">
        <f>'Financial Statements'!K29/'Financial Statements'!K26</f>
        <v>7.916726926704724E-3</v>
      </c>
      <c r="K31" s="91">
        <f>'Financial Statements'!L29/'Financial Statements'!L26</f>
        <v>5.9945285217185207E-3</v>
      </c>
      <c r="L31" s="91">
        <f>'Financial Statements'!M29/'Financial Statements'!M26</f>
        <v>4.5365102463962035E-3</v>
      </c>
    </row>
  </sheetData>
  <mergeCells count="1">
    <mergeCell ref="A1:L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F0CF9-7267-449D-97C1-89658DA1DD95}">
  <dimension ref="A1:J4"/>
  <sheetViews>
    <sheetView workbookViewId="0">
      <selection activeCell="C23" sqref="C23"/>
    </sheetView>
  </sheetViews>
  <sheetFormatPr defaultRowHeight="14.4" x14ac:dyDescent="0.3"/>
  <cols>
    <col min="1" max="1" width="16.88671875" bestFit="1" customWidth="1"/>
    <col min="2" max="2" width="9" bestFit="1" customWidth="1"/>
    <col min="3" max="3" width="19.21875" bestFit="1" customWidth="1"/>
    <col min="4" max="4" width="18.33203125" bestFit="1" customWidth="1"/>
    <col min="5" max="5" width="20" bestFit="1" customWidth="1"/>
    <col min="6" max="6" width="20.44140625" bestFit="1" customWidth="1"/>
    <col min="7" max="7" width="14.88671875" bestFit="1" customWidth="1"/>
    <col min="8" max="8" width="18.88671875" bestFit="1" customWidth="1"/>
    <col min="9" max="9" width="18.6640625" bestFit="1" customWidth="1"/>
    <col min="10" max="10" width="16.44140625" bestFit="1" customWidth="1"/>
  </cols>
  <sheetData>
    <row r="1" spans="1:10" ht="86.4" x14ac:dyDescent="0.3">
      <c r="A1" s="216" t="s">
        <v>495</v>
      </c>
    </row>
    <row r="3" spans="1:10" x14ac:dyDescent="0.3">
      <c r="A3" t="s">
        <v>188</v>
      </c>
      <c r="B3" t="s">
        <v>10</v>
      </c>
      <c r="C3" t="s">
        <v>386</v>
      </c>
      <c r="D3" t="s">
        <v>377</v>
      </c>
      <c r="E3" t="s">
        <v>378</v>
      </c>
      <c r="F3" t="s">
        <v>379</v>
      </c>
      <c r="G3" t="s">
        <v>380</v>
      </c>
      <c r="H3" t="s">
        <v>381</v>
      </c>
      <c r="I3" t="s">
        <v>382</v>
      </c>
      <c r="J3" t="s">
        <v>383</v>
      </c>
    </row>
    <row r="4" spans="1:10" x14ac:dyDescent="0.3">
      <c r="A4" t="s">
        <v>192</v>
      </c>
      <c r="B4">
        <v>2022</v>
      </c>
      <c r="C4">
        <v>14744</v>
      </c>
      <c r="D4">
        <v>0.23799999999999999</v>
      </c>
      <c r="E4">
        <v>0.72099999999999997</v>
      </c>
      <c r="F4">
        <v>0.81200000000000006</v>
      </c>
      <c r="G4">
        <v>0.72</v>
      </c>
      <c r="H4">
        <v>0.02</v>
      </c>
      <c r="I4">
        <v>103.2</v>
      </c>
      <c r="J4">
        <v>2.0099999999999998</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3229D-59BC-48F9-BFA8-C367B352618E}">
  <dimension ref="A1:J31"/>
  <sheetViews>
    <sheetView workbookViewId="0">
      <selection activeCell="E20" sqref="E20"/>
    </sheetView>
  </sheetViews>
  <sheetFormatPr defaultRowHeight="14.4" x14ac:dyDescent="0.3"/>
  <cols>
    <col min="1" max="1" width="18" bestFit="1" customWidth="1"/>
    <col min="9" max="9" width="19.21875" customWidth="1"/>
  </cols>
  <sheetData>
    <row r="1" spans="1:10" ht="25.8" x14ac:dyDescent="0.5">
      <c r="A1" s="283" t="s">
        <v>483</v>
      </c>
      <c r="B1" s="283"/>
      <c r="C1" s="283"/>
      <c r="D1" s="283"/>
      <c r="E1" s="283"/>
      <c r="F1" s="283"/>
      <c r="G1" s="283"/>
      <c r="H1" s="283"/>
      <c r="I1" s="283"/>
      <c r="J1" s="283"/>
    </row>
    <row r="3" spans="1:10" ht="36" x14ac:dyDescent="0.3">
      <c r="A3" s="123" t="s">
        <v>188</v>
      </c>
      <c r="B3" s="123" t="s">
        <v>10</v>
      </c>
      <c r="C3" s="123" t="s">
        <v>386</v>
      </c>
      <c r="D3" s="123" t="s">
        <v>377</v>
      </c>
      <c r="E3" s="123" t="s">
        <v>378</v>
      </c>
      <c r="F3" s="123" t="s">
        <v>379</v>
      </c>
      <c r="G3" s="123" t="s">
        <v>380</v>
      </c>
      <c r="H3" s="123" t="s">
        <v>381</v>
      </c>
      <c r="I3" s="123" t="s">
        <v>382</v>
      </c>
      <c r="J3" s="123" t="s">
        <v>383</v>
      </c>
    </row>
    <row r="4" spans="1:10" x14ac:dyDescent="0.3">
      <c r="A4" s="124" t="s">
        <v>191</v>
      </c>
      <c r="B4" s="125">
        <v>2019</v>
      </c>
      <c r="C4" s="126">
        <v>47520</v>
      </c>
      <c r="D4" s="127">
        <v>0.34200000000000003</v>
      </c>
      <c r="E4" s="127">
        <v>0.23100000000000001</v>
      </c>
      <c r="F4" s="127">
        <v>0.29799999999999999</v>
      </c>
      <c r="G4" s="128">
        <v>2.5099999999999998</v>
      </c>
      <c r="H4" s="128">
        <v>0</v>
      </c>
      <c r="I4" s="129" t="s">
        <v>384</v>
      </c>
      <c r="J4" s="128">
        <v>0.72</v>
      </c>
    </row>
    <row r="5" spans="1:10" x14ac:dyDescent="0.3">
      <c r="A5" s="124" t="s">
        <v>191</v>
      </c>
      <c r="B5" s="125">
        <v>2020</v>
      </c>
      <c r="C5" s="126">
        <v>45910</v>
      </c>
      <c r="D5" s="127">
        <v>0.31900000000000001</v>
      </c>
      <c r="E5" s="127">
        <v>0.217</v>
      </c>
      <c r="F5" s="127">
        <v>0.28100000000000003</v>
      </c>
      <c r="G5" s="128">
        <v>2.64</v>
      </c>
      <c r="H5" s="128">
        <v>0</v>
      </c>
      <c r="I5" s="129" t="s">
        <v>384</v>
      </c>
      <c r="J5" s="128">
        <v>0.68</v>
      </c>
    </row>
    <row r="6" spans="1:10" x14ac:dyDescent="0.3">
      <c r="A6" s="124" t="s">
        <v>191</v>
      </c>
      <c r="B6" s="125">
        <v>2021</v>
      </c>
      <c r="C6" s="126">
        <v>49240</v>
      </c>
      <c r="D6" s="127">
        <v>0.32800000000000001</v>
      </c>
      <c r="E6" s="127">
        <v>0.19500000000000001</v>
      </c>
      <c r="F6" s="127">
        <v>0.25600000000000001</v>
      </c>
      <c r="G6" s="128">
        <v>2.88</v>
      </c>
      <c r="H6" s="128">
        <v>0</v>
      </c>
      <c r="I6" s="129" t="s">
        <v>384</v>
      </c>
      <c r="J6" s="128">
        <v>0.66</v>
      </c>
    </row>
    <row r="7" spans="1:10" x14ac:dyDescent="0.3">
      <c r="A7" s="124" t="s">
        <v>191</v>
      </c>
      <c r="B7" s="125">
        <v>2022</v>
      </c>
      <c r="C7" s="126">
        <v>54870</v>
      </c>
      <c r="D7" s="127">
        <v>0.35199999999999998</v>
      </c>
      <c r="E7" s="127">
        <v>0.25800000000000001</v>
      </c>
      <c r="F7" s="127">
        <v>0.32100000000000001</v>
      </c>
      <c r="G7" s="128">
        <v>2.92</v>
      </c>
      <c r="H7" s="128">
        <v>0</v>
      </c>
      <c r="I7" s="129" t="s">
        <v>384</v>
      </c>
      <c r="J7" s="128">
        <v>0.71</v>
      </c>
    </row>
    <row r="8" spans="1:10" x14ac:dyDescent="0.3">
      <c r="A8" s="124" t="s">
        <v>191</v>
      </c>
      <c r="B8" s="125">
        <v>2023</v>
      </c>
      <c r="C8" s="126">
        <v>59189</v>
      </c>
      <c r="D8" s="127">
        <v>0.36099999999999999</v>
      </c>
      <c r="E8" s="127">
        <v>0.28899999999999998</v>
      </c>
      <c r="F8" s="127">
        <v>0.35599999999999998</v>
      </c>
      <c r="G8" s="128">
        <v>3.1</v>
      </c>
      <c r="H8" s="128">
        <v>0</v>
      </c>
      <c r="I8" s="129" t="s">
        <v>384</v>
      </c>
      <c r="J8" s="128">
        <v>0.76</v>
      </c>
    </row>
    <row r="9" spans="1:10" x14ac:dyDescent="0.3">
      <c r="A9" s="124" t="s">
        <v>191</v>
      </c>
      <c r="B9" s="125">
        <v>2024</v>
      </c>
      <c r="C9" s="126">
        <v>69446</v>
      </c>
      <c r="D9" s="127">
        <v>0.35799999999999998</v>
      </c>
      <c r="E9" s="127">
        <v>0.30099999999999999</v>
      </c>
      <c r="F9" s="127">
        <v>0.36799999999999999</v>
      </c>
      <c r="G9" s="128">
        <v>3.28</v>
      </c>
      <c r="H9" s="128">
        <v>0</v>
      </c>
      <c r="I9" s="129" t="s">
        <v>384</v>
      </c>
      <c r="J9" s="128">
        <v>0.79</v>
      </c>
    </row>
    <row r="10" spans="1:10" x14ac:dyDescent="0.3">
      <c r="A10" s="124" t="s">
        <v>191</v>
      </c>
      <c r="B10" s="125">
        <v>2025</v>
      </c>
      <c r="C10" s="126">
        <v>75000</v>
      </c>
      <c r="D10" s="127">
        <v>0.36299999999999999</v>
      </c>
      <c r="E10" s="127">
        <v>0.31</v>
      </c>
      <c r="F10" s="127">
        <v>0.378</v>
      </c>
      <c r="G10" s="128">
        <v>3.35</v>
      </c>
      <c r="H10" s="128">
        <v>0</v>
      </c>
      <c r="I10" s="129" t="s">
        <v>384</v>
      </c>
      <c r="J10" s="128">
        <v>0.82</v>
      </c>
    </row>
    <row r="11" spans="1:10" x14ac:dyDescent="0.3">
      <c r="A11" s="130" t="s">
        <v>192</v>
      </c>
      <c r="B11" s="131">
        <v>2019</v>
      </c>
      <c r="C11" s="132">
        <v>11225</v>
      </c>
      <c r="D11" s="133">
        <v>0.221</v>
      </c>
      <c r="E11" s="133">
        <v>0.69499999999999995</v>
      </c>
      <c r="F11" s="133">
        <v>0.78100000000000003</v>
      </c>
      <c r="G11" s="134">
        <v>0.55000000000000004</v>
      </c>
      <c r="H11" s="134">
        <v>0.01</v>
      </c>
      <c r="I11" s="135">
        <v>98.3</v>
      </c>
      <c r="J11" s="134">
        <v>1.82</v>
      </c>
    </row>
    <row r="12" spans="1:10" x14ac:dyDescent="0.3">
      <c r="A12" s="130" t="s">
        <v>192</v>
      </c>
      <c r="B12" s="131">
        <v>2020</v>
      </c>
      <c r="C12" s="132">
        <v>12369</v>
      </c>
      <c r="D12" s="133">
        <v>0.23499999999999999</v>
      </c>
      <c r="E12" s="133">
        <v>0.71199999999999997</v>
      </c>
      <c r="F12" s="133">
        <v>0.80100000000000005</v>
      </c>
      <c r="G12" s="134">
        <v>0.61</v>
      </c>
      <c r="H12" s="134">
        <v>0.01</v>
      </c>
      <c r="I12" s="135">
        <v>112.4</v>
      </c>
      <c r="J12" s="134">
        <v>1.91</v>
      </c>
    </row>
    <row r="13" spans="1:10" x14ac:dyDescent="0.3">
      <c r="A13" s="130" t="s">
        <v>192</v>
      </c>
      <c r="B13" s="131">
        <v>2021</v>
      </c>
      <c r="C13" s="132">
        <v>13686</v>
      </c>
      <c r="D13" s="133">
        <v>0.24099999999999999</v>
      </c>
      <c r="E13" s="133">
        <v>0.73</v>
      </c>
      <c r="F13" s="133">
        <v>0.82399999999999995</v>
      </c>
      <c r="G13" s="134">
        <v>0.68</v>
      </c>
      <c r="H13" s="134">
        <v>0.02</v>
      </c>
      <c r="I13" s="135">
        <v>98.7</v>
      </c>
      <c r="J13" s="134">
        <v>1.94</v>
      </c>
    </row>
    <row r="14" spans="1:10" x14ac:dyDescent="0.3">
      <c r="A14" s="130" t="s">
        <v>192</v>
      </c>
      <c r="B14" s="131">
        <v>2022</v>
      </c>
      <c r="C14" s="132">
        <v>14744</v>
      </c>
      <c r="D14" s="133">
        <v>0.23799999999999999</v>
      </c>
      <c r="E14" s="133">
        <v>0.72099999999999997</v>
      </c>
      <c r="F14" s="133">
        <v>0.81200000000000006</v>
      </c>
      <c r="G14" s="134">
        <v>0.72</v>
      </c>
      <c r="H14" s="134">
        <v>0.02</v>
      </c>
      <c r="I14" s="135">
        <v>103.2</v>
      </c>
      <c r="J14" s="134">
        <v>2.0099999999999998</v>
      </c>
    </row>
    <row r="15" spans="1:10" x14ac:dyDescent="0.3">
      <c r="A15" s="130" t="s">
        <v>192</v>
      </c>
      <c r="B15" s="131">
        <v>2023</v>
      </c>
      <c r="C15" s="132">
        <v>16984</v>
      </c>
      <c r="D15" s="133">
        <v>0.245</v>
      </c>
      <c r="E15" s="133">
        <v>0.748</v>
      </c>
      <c r="F15" s="133">
        <v>0.84099999999999997</v>
      </c>
      <c r="G15" s="134">
        <v>0.71</v>
      </c>
      <c r="H15" s="134">
        <v>0.01</v>
      </c>
      <c r="I15" s="135">
        <v>118.6</v>
      </c>
      <c r="J15" s="134">
        <v>2.09</v>
      </c>
    </row>
    <row r="16" spans="1:10" x14ac:dyDescent="0.3">
      <c r="A16" s="130" t="s">
        <v>192</v>
      </c>
      <c r="B16" s="131">
        <v>2024</v>
      </c>
      <c r="C16" s="132">
        <v>18727</v>
      </c>
      <c r="D16" s="133">
        <v>0.248</v>
      </c>
      <c r="E16" s="133">
        <v>0.76200000000000001</v>
      </c>
      <c r="F16" s="133">
        <v>0.85699999999999998</v>
      </c>
      <c r="G16" s="134">
        <v>0.74</v>
      </c>
      <c r="H16" s="134">
        <v>0.01</v>
      </c>
      <c r="I16" s="135">
        <v>122.3</v>
      </c>
      <c r="J16" s="134">
        <v>2.14</v>
      </c>
    </row>
    <row r="17" spans="1:10" x14ac:dyDescent="0.3">
      <c r="A17" s="130" t="s">
        <v>192</v>
      </c>
      <c r="B17" s="131">
        <v>2025</v>
      </c>
      <c r="C17" s="132">
        <v>21000</v>
      </c>
      <c r="D17" s="133">
        <v>0.251</v>
      </c>
      <c r="E17" s="133">
        <v>0.77</v>
      </c>
      <c r="F17" s="133">
        <v>0.86499999999999999</v>
      </c>
      <c r="G17" s="134">
        <v>0.76</v>
      </c>
      <c r="H17" s="134">
        <v>0.01</v>
      </c>
      <c r="I17" s="135">
        <v>128.9</v>
      </c>
      <c r="J17" s="134">
        <v>2.19</v>
      </c>
    </row>
    <row r="18" spans="1:10" x14ac:dyDescent="0.3">
      <c r="A18" s="136" t="s">
        <v>193</v>
      </c>
      <c r="B18" s="137">
        <v>2019</v>
      </c>
      <c r="C18" s="138">
        <v>11054</v>
      </c>
      <c r="D18" s="139">
        <v>0.121</v>
      </c>
      <c r="E18" s="139">
        <v>0.45200000000000001</v>
      </c>
      <c r="F18" s="139">
        <v>0.53800000000000003</v>
      </c>
      <c r="G18" s="140">
        <v>0.62</v>
      </c>
      <c r="H18" s="140">
        <v>0.12</v>
      </c>
      <c r="I18" s="141">
        <v>18.399999999999999</v>
      </c>
      <c r="J18" s="140">
        <v>1.42</v>
      </c>
    </row>
    <row r="19" spans="1:10" x14ac:dyDescent="0.3">
      <c r="A19" s="136" t="s">
        <v>193</v>
      </c>
      <c r="B19" s="137">
        <v>2020</v>
      </c>
      <c r="C19" s="138">
        <v>11888</v>
      </c>
      <c r="D19" s="139">
        <v>0.14199999999999999</v>
      </c>
      <c r="E19" s="139">
        <v>0.51200000000000001</v>
      </c>
      <c r="F19" s="139">
        <v>0.59799999999999998</v>
      </c>
      <c r="G19" s="140">
        <v>0.71</v>
      </c>
      <c r="H19" s="140">
        <v>0.09</v>
      </c>
      <c r="I19" s="141">
        <v>22.6</v>
      </c>
      <c r="J19" s="140">
        <v>1.48</v>
      </c>
    </row>
    <row r="20" spans="1:10" x14ac:dyDescent="0.3">
      <c r="A20" s="136" t="s">
        <v>193</v>
      </c>
      <c r="B20" s="137">
        <v>2021</v>
      </c>
      <c r="C20" s="138">
        <v>13268</v>
      </c>
      <c r="D20" s="139">
        <v>0.156</v>
      </c>
      <c r="E20" s="139">
        <v>0.56799999999999995</v>
      </c>
      <c r="F20" s="139">
        <v>0.65200000000000002</v>
      </c>
      <c r="G20" s="140">
        <v>0.78</v>
      </c>
      <c r="H20" s="140">
        <v>7.0000000000000007E-2</v>
      </c>
      <c r="I20" s="141">
        <v>28.1</v>
      </c>
      <c r="J20" s="140">
        <v>1.52</v>
      </c>
    </row>
    <row r="21" spans="1:10" x14ac:dyDescent="0.3">
      <c r="A21" s="136" t="s">
        <v>193</v>
      </c>
      <c r="B21" s="137">
        <v>2022</v>
      </c>
      <c r="C21" s="138">
        <v>14136</v>
      </c>
      <c r="D21" s="139">
        <v>0.14799999999999999</v>
      </c>
      <c r="E21" s="139">
        <v>0.54100000000000004</v>
      </c>
      <c r="F21" s="139">
        <v>0.628</v>
      </c>
      <c r="G21" s="140">
        <v>0.82</v>
      </c>
      <c r="H21" s="140">
        <v>0.06</v>
      </c>
      <c r="I21" s="141">
        <v>25.3</v>
      </c>
      <c r="J21" s="140">
        <v>1.56</v>
      </c>
    </row>
    <row r="22" spans="1:10" x14ac:dyDescent="0.3">
      <c r="A22" s="136" t="s">
        <v>193</v>
      </c>
      <c r="B22" s="137">
        <v>2023</v>
      </c>
      <c r="C22" s="138">
        <v>15827</v>
      </c>
      <c r="D22" s="139">
        <v>0.158</v>
      </c>
      <c r="E22" s="139">
        <v>0.57199999999999995</v>
      </c>
      <c r="F22" s="139">
        <v>0.65800000000000003</v>
      </c>
      <c r="G22" s="140">
        <v>0.89</v>
      </c>
      <c r="H22" s="140">
        <v>0.05</v>
      </c>
      <c r="I22" s="141">
        <v>32.700000000000003</v>
      </c>
      <c r="J22" s="140">
        <v>1.61</v>
      </c>
    </row>
    <row r="23" spans="1:10" x14ac:dyDescent="0.3">
      <c r="A23" s="136" t="s">
        <v>193</v>
      </c>
      <c r="B23" s="137">
        <v>2024</v>
      </c>
      <c r="C23" s="138">
        <v>16544</v>
      </c>
      <c r="D23" s="139">
        <v>0.16300000000000001</v>
      </c>
      <c r="E23" s="139">
        <v>0.58899999999999997</v>
      </c>
      <c r="F23" s="139">
        <v>0.67400000000000004</v>
      </c>
      <c r="G23" s="140">
        <v>0.92</v>
      </c>
      <c r="H23" s="140">
        <v>0.04</v>
      </c>
      <c r="I23" s="141">
        <v>36.4</v>
      </c>
      <c r="J23" s="140">
        <v>1.65</v>
      </c>
    </row>
    <row r="24" spans="1:10" x14ac:dyDescent="0.3">
      <c r="A24" s="136" t="s">
        <v>193</v>
      </c>
      <c r="B24" s="137">
        <v>2025</v>
      </c>
      <c r="C24" s="138">
        <v>18200</v>
      </c>
      <c r="D24" s="139">
        <v>0.16800000000000001</v>
      </c>
      <c r="E24" s="139">
        <v>0.60099999999999998</v>
      </c>
      <c r="F24" s="139">
        <v>0.68799999999999994</v>
      </c>
      <c r="G24" s="140">
        <v>0.96</v>
      </c>
      <c r="H24" s="140">
        <v>0.03</v>
      </c>
      <c r="I24" s="141">
        <v>41.2</v>
      </c>
      <c r="J24" s="140">
        <v>1.71</v>
      </c>
    </row>
    <row r="25" spans="1:10" x14ac:dyDescent="0.3">
      <c r="A25" s="142" t="s">
        <v>385</v>
      </c>
      <c r="B25" s="143">
        <v>2019</v>
      </c>
      <c r="C25" s="144">
        <v>38273</v>
      </c>
      <c r="D25" s="145">
        <v>0.22900000000000001</v>
      </c>
      <c r="E25" s="145">
        <v>0.80100000000000005</v>
      </c>
      <c r="F25" s="145">
        <v>0.89200000000000002</v>
      </c>
      <c r="G25" s="146">
        <v>0.68</v>
      </c>
      <c r="H25" s="146">
        <v>0.01</v>
      </c>
      <c r="I25" s="147">
        <v>142.1</v>
      </c>
      <c r="J25" s="146">
        <v>1.38</v>
      </c>
    </row>
    <row r="26" spans="1:10" x14ac:dyDescent="0.3">
      <c r="A26" s="142" t="s">
        <v>385</v>
      </c>
      <c r="B26" s="143">
        <v>2020</v>
      </c>
      <c r="C26" s="144">
        <v>38785</v>
      </c>
      <c r="D26" s="145">
        <v>0.23100000000000001</v>
      </c>
      <c r="E26" s="145">
        <v>0.81200000000000006</v>
      </c>
      <c r="F26" s="145">
        <v>0.90100000000000002</v>
      </c>
      <c r="G26" s="146">
        <v>0.71</v>
      </c>
      <c r="H26" s="146">
        <v>0.01</v>
      </c>
      <c r="I26" s="147">
        <v>148.30000000000001</v>
      </c>
      <c r="J26" s="146">
        <v>1.41</v>
      </c>
    </row>
    <row r="27" spans="1:10" x14ac:dyDescent="0.3">
      <c r="A27" s="142" t="s">
        <v>385</v>
      </c>
      <c r="B27" s="143">
        <v>2021</v>
      </c>
      <c r="C27" s="144">
        <v>45311</v>
      </c>
      <c r="D27" s="145">
        <v>0.23799999999999999</v>
      </c>
      <c r="E27" s="145">
        <v>0.83399999999999996</v>
      </c>
      <c r="F27" s="145">
        <v>0.92100000000000004</v>
      </c>
      <c r="G27" s="146">
        <v>0.75</v>
      </c>
      <c r="H27" s="146">
        <v>0.01</v>
      </c>
      <c r="I27" s="147">
        <v>156.69999999999999</v>
      </c>
      <c r="J27" s="146">
        <v>1.44</v>
      </c>
    </row>
    <row r="28" spans="1:10" x14ac:dyDescent="0.3">
      <c r="A28" s="142" t="s">
        <v>385</v>
      </c>
      <c r="B28" s="143">
        <v>2022</v>
      </c>
      <c r="C28" s="144">
        <v>52612</v>
      </c>
      <c r="D28" s="145">
        <v>0.23200000000000001</v>
      </c>
      <c r="E28" s="145">
        <v>0.82099999999999995</v>
      </c>
      <c r="F28" s="145">
        <v>0.91200000000000003</v>
      </c>
      <c r="G28" s="146">
        <v>0.78</v>
      </c>
      <c r="H28" s="146">
        <v>0.01</v>
      </c>
      <c r="I28" s="147">
        <v>152.4</v>
      </c>
      <c r="J28" s="146">
        <v>1.47</v>
      </c>
    </row>
    <row r="29" spans="1:10" x14ac:dyDescent="0.3">
      <c r="A29" s="142" t="s">
        <v>385</v>
      </c>
      <c r="B29" s="143">
        <v>2023</v>
      </c>
      <c r="C29" s="144">
        <v>59579</v>
      </c>
      <c r="D29" s="145">
        <v>0.23499999999999999</v>
      </c>
      <c r="E29" s="145">
        <v>0.83799999999999997</v>
      </c>
      <c r="F29" s="145">
        <v>0.92800000000000005</v>
      </c>
      <c r="G29" s="146">
        <v>0.81</v>
      </c>
      <c r="H29" s="146">
        <v>0.01</v>
      </c>
      <c r="I29" s="147">
        <v>159.80000000000001</v>
      </c>
      <c r="J29" s="146">
        <v>1.52</v>
      </c>
    </row>
    <row r="30" spans="1:10" x14ac:dyDescent="0.3">
      <c r="A30" s="142" t="s">
        <v>385</v>
      </c>
      <c r="B30" s="143">
        <v>2024</v>
      </c>
      <c r="C30" s="144">
        <v>62603</v>
      </c>
      <c r="D30" s="145">
        <v>0.24</v>
      </c>
      <c r="E30" s="145">
        <v>0.84499999999999997</v>
      </c>
      <c r="F30" s="145">
        <v>0.93400000000000005</v>
      </c>
      <c r="G30" s="146">
        <v>0.83</v>
      </c>
      <c r="H30" s="146">
        <v>0.01</v>
      </c>
      <c r="I30" s="147">
        <v>163.4</v>
      </c>
      <c r="J30" s="146">
        <v>1.56</v>
      </c>
    </row>
    <row r="31" spans="1:10" x14ac:dyDescent="0.3">
      <c r="A31" s="142" t="s">
        <v>385</v>
      </c>
      <c r="B31" s="143">
        <v>2025</v>
      </c>
      <c r="C31" s="144">
        <v>65000</v>
      </c>
      <c r="D31" s="145">
        <v>0.245</v>
      </c>
      <c r="E31" s="145">
        <v>0.85</v>
      </c>
      <c r="F31" s="145">
        <v>0.94099999999999995</v>
      </c>
      <c r="G31" s="146">
        <v>0.85</v>
      </c>
      <c r="H31" s="146">
        <v>0.01</v>
      </c>
      <c r="I31" s="147">
        <v>168.2</v>
      </c>
      <c r="J31" s="146">
        <v>1.6</v>
      </c>
    </row>
  </sheetData>
  <mergeCells count="1">
    <mergeCell ref="A1:J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B880C-39BA-422F-A22A-4877288E7AAE}">
  <dimension ref="A1:G13"/>
  <sheetViews>
    <sheetView topLeftCell="A3" workbookViewId="0">
      <selection activeCell="A10" sqref="A10:G11"/>
    </sheetView>
  </sheetViews>
  <sheetFormatPr defaultRowHeight="14.4" x14ac:dyDescent="0.3"/>
  <cols>
    <col min="1" max="1" width="16.88671875" bestFit="1" customWidth="1"/>
  </cols>
  <sheetData>
    <row r="1" spans="1:7" x14ac:dyDescent="0.3">
      <c r="A1" s="92" t="s">
        <v>370</v>
      </c>
      <c r="B1" s="93"/>
      <c r="C1" s="93"/>
      <c r="D1" s="93"/>
      <c r="E1" s="93"/>
      <c r="F1" s="93"/>
      <c r="G1" s="94"/>
    </row>
    <row r="2" spans="1:7" ht="15" thickBot="1" x14ac:dyDescent="0.35">
      <c r="A2" s="95"/>
      <c r="B2" s="84"/>
      <c r="C2" s="84"/>
      <c r="D2" s="84"/>
      <c r="E2" s="84"/>
      <c r="F2" s="84"/>
      <c r="G2" s="96"/>
    </row>
    <row r="3" spans="1:7" ht="29.4" thickBot="1" x14ac:dyDescent="0.35">
      <c r="A3" s="97" t="s">
        <v>263</v>
      </c>
      <c r="B3" s="98" t="s">
        <v>305</v>
      </c>
      <c r="C3" s="98" t="s">
        <v>306</v>
      </c>
      <c r="D3" s="98" t="s">
        <v>307</v>
      </c>
      <c r="E3" s="98" t="s">
        <v>308</v>
      </c>
      <c r="F3" s="98" t="s">
        <v>309</v>
      </c>
      <c r="G3" s="99" t="s">
        <v>310</v>
      </c>
    </row>
    <row r="4" spans="1:7" x14ac:dyDescent="0.3">
      <c r="A4" s="100" t="s">
        <v>352</v>
      </c>
      <c r="B4" s="101">
        <f>'Financial Statements'!H22</f>
        <v>4278.8900000000003</v>
      </c>
      <c r="C4" s="101">
        <f>'Financial Statements'!I22</f>
        <v>3711.4526369777705</v>
      </c>
      <c r="D4" s="101">
        <f>'Financial Statements'!J22</f>
        <v>4156.8269534151023</v>
      </c>
      <c r="E4" s="101">
        <f>'Financial Statements'!K22</f>
        <v>4655.6461878249174</v>
      </c>
      <c r="F4" s="101">
        <f>'Financial Statements'!L22</f>
        <v>5214.3237303639035</v>
      </c>
      <c r="G4" s="101">
        <f>'Financial Statements'!M22</f>
        <v>5840.0425780075711</v>
      </c>
    </row>
    <row r="5" spans="1:7" x14ac:dyDescent="0.3">
      <c r="A5" s="102" t="s">
        <v>371</v>
      </c>
      <c r="B5" s="103">
        <f>'Financial Statements'!H27</f>
        <v>0.29166191517103324</v>
      </c>
      <c r="C5" s="103">
        <f>'Financial Statements'!I27</f>
        <v>0.17614434953989944</v>
      </c>
      <c r="D5" s="103">
        <f>'Financial Statements'!J27</f>
        <v>0.1734035886040354</v>
      </c>
      <c r="E5" s="103">
        <f>'Financial Statements'!K27</f>
        <v>0.17095648062558552</v>
      </c>
      <c r="F5" s="103">
        <f>'Financial Statements'!L27</f>
        <v>0.16877156278768354</v>
      </c>
      <c r="G5" s="103">
        <f>'Financial Statements'!M27</f>
        <v>0.1668207432895569</v>
      </c>
    </row>
    <row r="6" spans="1:7" x14ac:dyDescent="0.3">
      <c r="A6" s="102" t="s">
        <v>372</v>
      </c>
      <c r="B6" s="104">
        <f>'Financial Statements'!H22</f>
        <v>4278.8900000000003</v>
      </c>
      <c r="C6" s="104">
        <f>'Financial Statements'!I22</f>
        <v>3711.4526369777705</v>
      </c>
      <c r="D6" s="104">
        <f>'Financial Statements'!J22</f>
        <v>4156.8269534151023</v>
      </c>
      <c r="E6" s="104">
        <f>'Financial Statements'!K22</f>
        <v>4655.6461878249174</v>
      </c>
      <c r="F6" s="104">
        <f>'Financial Statements'!L22</f>
        <v>5214.3237303639035</v>
      </c>
      <c r="G6" s="104">
        <f>'Financial Statements'!M22</f>
        <v>5840.0425780075711</v>
      </c>
    </row>
    <row r="7" spans="1:7" x14ac:dyDescent="0.3">
      <c r="A7" s="102" t="s">
        <v>351</v>
      </c>
      <c r="B7" s="103">
        <f>'Financial Statements'!H23</f>
        <v>0.29394400700152923</v>
      </c>
      <c r="C7" s="103">
        <f>'Financial Statements'!I23</f>
        <v>0.22764566693148505</v>
      </c>
      <c r="D7" s="103">
        <f>'Financial Statements'!J23</f>
        <v>0.227645666931485</v>
      </c>
      <c r="E7" s="103">
        <f>'Financial Statements'!K23</f>
        <v>0.22764566693148511</v>
      </c>
      <c r="F7" s="103">
        <f>'Financial Statements'!L23</f>
        <v>0.22764566693148494</v>
      </c>
      <c r="G7" s="103">
        <f>'Financial Statements'!M23</f>
        <v>0.22764566693148489</v>
      </c>
    </row>
    <row r="8" spans="1:7" x14ac:dyDescent="0.3">
      <c r="A8" s="102" t="s">
        <v>373</v>
      </c>
      <c r="B8" s="104">
        <f>'Financial Statements'!H32</f>
        <v>2676.64</v>
      </c>
      <c r="C8" s="104">
        <f>'Financial Statements'!I32</f>
        <v>2247.7253025709974</v>
      </c>
      <c r="D8" s="104">
        <f>'Financial Statements'!J32</f>
        <v>2486.6521568788494</v>
      </c>
      <c r="E8" s="104">
        <f>'Financial Statements'!K32</f>
        <v>2752.7721924532188</v>
      </c>
      <c r="F8" s="104">
        <f>'Financial Statements'!L32</f>
        <v>3049.5983645290298</v>
      </c>
      <c r="G8" s="104">
        <f>'Financial Statements'!M32</f>
        <v>3381.0221034878919</v>
      </c>
    </row>
    <row r="9" spans="1:7" x14ac:dyDescent="0.3">
      <c r="A9" s="102" t="s">
        <v>374</v>
      </c>
      <c r="B9" s="104">
        <f>'Financial Statements'!H37</f>
        <v>7.91</v>
      </c>
      <c r="C9" s="104">
        <f>'Financial Statements'!I37</f>
        <v>6.642472332228686</v>
      </c>
      <c r="D9" s="104">
        <f>'Financial Statements'!J37</f>
        <v>7.3485483893656598</v>
      </c>
      <c r="E9" s="104">
        <f>'Financial Statements'!K37</f>
        <v>8.1349856694605798</v>
      </c>
      <c r="F9" s="104">
        <f>'Financial Statements'!L37</f>
        <v>9.0121656492560192</v>
      </c>
      <c r="G9" s="104">
        <f>'Financial Statements'!M37</f>
        <v>9.9915882743249842</v>
      </c>
    </row>
    <row r="10" spans="1:7" x14ac:dyDescent="0.3">
      <c r="A10" s="102" t="s">
        <v>357</v>
      </c>
      <c r="B10" s="103">
        <f>'All Ratio Forecasr'!H16</f>
        <v>0.10373889971385455</v>
      </c>
      <c r="C10" s="103">
        <f>'All Ratio Forecasr'!I16</f>
        <v>0.10423339975137619</v>
      </c>
      <c r="D10" s="103">
        <f>'All Ratio Forecasr'!J16</f>
        <v>0.10471171691781396</v>
      </c>
      <c r="E10" s="103">
        <f>'All Ratio Forecasr'!K16</f>
        <v>0.10519023814581265</v>
      </c>
      <c r="F10" s="103">
        <f>'All Ratio Forecasr'!L16</f>
        <v>0.10567841349283211</v>
      </c>
      <c r="G10" s="103">
        <f>'All Ratio Forecasr'!M16</f>
        <v>0</v>
      </c>
    </row>
    <row r="11" spans="1:7" x14ac:dyDescent="0.3">
      <c r="A11" s="102" t="s">
        <v>356</v>
      </c>
      <c r="B11" s="103">
        <f>'All Ratio Forecasr'!H15</f>
        <v>0.10819740853674674</v>
      </c>
      <c r="C11" s="103">
        <f>'All Ratio Forecasr'!I15</f>
        <v>0.10812612138176839</v>
      </c>
      <c r="D11" s="103">
        <f>'All Ratio Forecasr'!J15</f>
        <v>0.10812549061594263</v>
      </c>
      <c r="E11" s="103">
        <f>'All Ratio Forecasr'!K15</f>
        <v>0.10819626563592692</v>
      </c>
      <c r="F11" s="103">
        <f>'All Ratio Forecasr'!L15</f>
        <v>0.10833522698865539</v>
      </c>
      <c r="G11" s="103">
        <f>'All Ratio Forecasr'!M15</f>
        <v>0</v>
      </c>
    </row>
    <row r="12" spans="1:7" x14ac:dyDescent="0.3">
      <c r="A12" s="102" t="s">
        <v>375</v>
      </c>
      <c r="B12" s="104">
        <f>'All Ratio Forecasr'!H19</f>
        <v>63.2294692387648</v>
      </c>
      <c r="C12" s="104">
        <f>'All Ratio Forecasr'!I19</f>
        <v>57.154144974781225</v>
      </c>
      <c r="D12" s="104">
        <f>'All Ratio Forecasr'!J19</f>
        <v>51.62885554632448</v>
      </c>
      <c r="E12" s="104">
        <f>'All Ratio Forecasr'!K19</f>
        <v>46.603670676500741</v>
      </c>
      <c r="F12" s="104">
        <f>'All Ratio Forecasr'!L19</f>
        <v>42.035358990848181</v>
      </c>
      <c r="G12" s="104">
        <f>'All Ratio Forecasr'!M19</f>
        <v>0</v>
      </c>
    </row>
    <row r="13" spans="1:7" ht="15" thickBot="1" x14ac:dyDescent="0.35">
      <c r="A13" s="105" t="s">
        <v>376</v>
      </c>
      <c r="B13" s="106">
        <f>'All Ratio Forecasr'!H20</f>
        <v>13.674974144406786</v>
      </c>
      <c r="C13" s="106">
        <f>'All Ratio Forecasr'!I20</f>
        <v>12.352887188555973</v>
      </c>
      <c r="D13" s="106">
        <f>'All Ratio Forecasr'!J20</f>
        <v>11.158625643746918</v>
      </c>
      <c r="E13" s="106">
        <f>'All Ratio Forecasr'!K20</f>
        <v>10.07911765349014</v>
      </c>
      <c r="F13" s="106">
        <f>'All Ratio Forecasr'!L20</f>
        <v>9.1027911154451129</v>
      </c>
      <c r="G13" s="106">
        <f>'All Ratio Forecasr'!M20</f>
        <v>0</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BD621-1018-4116-BF19-F4E48378585E}">
  <dimension ref="A3:M47"/>
  <sheetViews>
    <sheetView workbookViewId="0">
      <selection activeCell="B9" sqref="B9"/>
    </sheetView>
  </sheetViews>
  <sheetFormatPr defaultRowHeight="14.4" x14ac:dyDescent="0.3"/>
  <cols>
    <col min="1" max="1" width="23.6640625" bestFit="1" customWidth="1"/>
    <col min="2" max="2" width="17.44140625" bestFit="1" customWidth="1"/>
    <col min="3" max="3" width="17.21875" bestFit="1" customWidth="1"/>
    <col min="4" max="4" width="8.109375" bestFit="1" customWidth="1"/>
    <col min="5" max="5" width="10.88671875" bestFit="1" customWidth="1"/>
    <col min="6" max="6" width="10.77734375" bestFit="1" customWidth="1"/>
    <col min="8" max="8" width="22.77734375" bestFit="1" customWidth="1"/>
    <col min="9" max="9" width="17.44140625" bestFit="1" customWidth="1"/>
    <col min="10" max="10" width="17.21875" bestFit="1" customWidth="1"/>
    <col min="11" max="11" width="7" bestFit="1" customWidth="1"/>
    <col min="12" max="12" width="10.88671875" bestFit="1" customWidth="1"/>
    <col min="13" max="13" width="10.77734375" bestFit="1" customWidth="1"/>
  </cols>
  <sheetData>
    <row r="3" spans="1:13" x14ac:dyDescent="0.3">
      <c r="A3" s="211" t="s">
        <v>487</v>
      </c>
      <c r="B3" s="211" t="s">
        <v>486</v>
      </c>
      <c r="H3" s="211" t="s">
        <v>491</v>
      </c>
      <c r="I3" s="211" t="s">
        <v>486</v>
      </c>
    </row>
    <row r="4" spans="1:13" x14ac:dyDescent="0.3">
      <c r="A4" s="211" t="s">
        <v>484</v>
      </c>
      <c r="B4" t="s">
        <v>193</v>
      </c>
      <c r="C4" t="s">
        <v>385</v>
      </c>
      <c r="D4" t="s">
        <v>191</v>
      </c>
      <c r="E4" t="s">
        <v>192</v>
      </c>
      <c r="F4" t="s">
        <v>485</v>
      </c>
      <c r="H4" s="211" t="s">
        <v>484</v>
      </c>
      <c r="I4" t="s">
        <v>193</v>
      </c>
      <c r="J4" t="s">
        <v>385</v>
      </c>
      <c r="K4" t="s">
        <v>191</v>
      </c>
      <c r="L4" t="s">
        <v>192</v>
      </c>
      <c r="M4" t="s">
        <v>485</v>
      </c>
    </row>
    <row r="5" spans="1:13" x14ac:dyDescent="0.3">
      <c r="A5" s="212">
        <v>2019</v>
      </c>
      <c r="B5" s="213">
        <v>11054</v>
      </c>
      <c r="C5" s="213">
        <v>38273</v>
      </c>
      <c r="D5" s="213">
        <v>47520</v>
      </c>
      <c r="E5" s="213">
        <v>11225</v>
      </c>
      <c r="F5" s="213">
        <v>108072</v>
      </c>
      <c r="H5" s="212">
        <v>2019</v>
      </c>
      <c r="I5" s="215">
        <v>0.12</v>
      </c>
      <c r="J5" s="215">
        <v>0.01</v>
      </c>
      <c r="K5" s="215">
        <v>0</v>
      </c>
      <c r="L5" s="215">
        <v>0.01</v>
      </c>
      <c r="M5" s="215">
        <v>0.14000000000000001</v>
      </c>
    </row>
    <row r="6" spans="1:13" x14ac:dyDescent="0.3">
      <c r="A6" s="212">
        <v>2020</v>
      </c>
      <c r="B6" s="213">
        <v>11888</v>
      </c>
      <c r="C6" s="213">
        <v>38785</v>
      </c>
      <c r="D6" s="213">
        <v>45910</v>
      </c>
      <c r="E6" s="213">
        <v>12369</v>
      </c>
      <c r="F6" s="213">
        <v>108952</v>
      </c>
      <c r="H6" s="212">
        <v>2020</v>
      </c>
      <c r="I6" s="215">
        <v>0.09</v>
      </c>
      <c r="J6" s="215">
        <v>0.01</v>
      </c>
      <c r="K6" s="215">
        <v>0</v>
      </c>
      <c r="L6" s="215">
        <v>0.01</v>
      </c>
      <c r="M6" s="215">
        <v>0.10999999999999999</v>
      </c>
    </row>
    <row r="7" spans="1:13" x14ac:dyDescent="0.3">
      <c r="A7" s="212">
        <v>2021</v>
      </c>
      <c r="B7" s="213">
        <v>13268</v>
      </c>
      <c r="C7" s="213">
        <v>45311</v>
      </c>
      <c r="D7" s="213">
        <v>49240</v>
      </c>
      <c r="E7" s="213">
        <v>13686</v>
      </c>
      <c r="F7" s="213">
        <v>121505</v>
      </c>
      <c r="H7" s="212">
        <v>2021</v>
      </c>
      <c r="I7" s="215">
        <v>7.0000000000000007E-2</v>
      </c>
      <c r="J7" s="215">
        <v>0.01</v>
      </c>
      <c r="K7" s="215">
        <v>0</v>
      </c>
      <c r="L7" s="215">
        <v>0.02</v>
      </c>
      <c r="M7" s="215">
        <v>0.1</v>
      </c>
    </row>
    <row r="8" spans="1:13" x14ac:dyDescent="0.3">
      <c r="A8" s="212">
        <v>2022</v>
      </c>
      <c r="B8" s="213">
        <v>14136</v>
      </c>
      <c r="C8" s="213">
        <v>52612</v>
      </c>
      <c r="D8" s="213">
        <v>54870</v>
      </c>
      <c r="E8" s="213">
        <v>14744</v>
      </c>
      <c r="F8" s="213">
        <v>136362</v>
      </c>
      <c r="H8" s="212">
        <v>2022</v>
      </c>
      <c r="I8" s="215">
        <v>0.06</v>
      </c>
      <c r="J8" s="215">
        <v>0.01</v>
      </c>
      <c r="K8" s="215">
        <v>0</v>
      </c>
      <c r="L8" s="215">
        <v>0.02</v>
      </c>
      <c r="M8" s="215">
        <v>0.09</v>
      </c>
    </row>
    <row r="9" spans="1:13" x14ac:dyDescent="0.3">
      <c r="A9" s="212">
        <v>2023</v>
      </c>
      <c r="B9" s="213">
        <v>15827</v>
      </c>
      <c r="C9" s="213">
        <v>59579</v>
      </c>
      <c r="D9" s="213">
        <v>59189</v>
      </c>
      <c r="E9" s="213">
        <v>16984</v>
      </c>
      <c r="F9" s="213">
        <v>151579</v>
      </c>
      <c r="H9" s="212">
        <v>2023</v>
      </c>
      <c r="I9" s="215">
        <v>0.05</v>
      </c>
      <c r="J9" s="215">
        <v>0.01</v>
      </c>
      <c r="K9" s="215">
        <v>0</v>
      </c>
      <c r="L9" s="215">
        <v>0.01</v>
      </c>
      <c r="M9" s="215">
        <v>7.0000000000000007E-2</v>
      </c>
    </row>
    <row r="10" spans="1:13" x14ac:dyDescent="0.3">
      <c r="A10" s="212">
        <v>2024</v>
      </c>
      <c r="B10" s="213">
        <v>16544</v>
      </c>
      <c r="C10" s="213">
        <v>62603</v>
      </c>
      <c r="D10" s="213">
        <v>69446</v>
      </c>
      <c r="E10" s="213">
        <v>18727</v>
      </c>
      <c r="F10" s="213">
        <v>167320</v>
      </c>
      <c r="H10" s="212">
        <v>2024</v>
      </c>
      <c r="I10" s="215">
        <v>0.04</v>
      </c>
      <c r="J10" s="215">
        <v>0.01</v>
      </c>
      <c r="K10" s="215">
        <v>0</v>
      </c>
      <c r="L10" s="215">
        <v>0.01</v>
      </c>
      <c r="M10" s="215">
        <v>6.0000000000000005E-2</v>
      </c>
    </row>
    <row r="11" spans="1:13" x14ac:dyDescent="0.3">
      <c r="A11" s="212">
        <v>2025</v>
      </c>
      <c r="B11" s="213">
        <v>18200</v>
      </c>
      <c r="C11" s="213">
        <v>65000</v>
      </c>
      <c r="D11" s="213">
        <v>75000</v>
      </c>
      <c r="E11" s="213">
        <v>21000</v>
      </c>
      <c r="F11" s="213">
        <v>179200</v>
      </c>
      <c r="H11" s="212">
        <v>2025</v>
      </c>
      <c r="I11" s="215">
        <v>0.03</v>
      </c>
      <c r="J11" s="215">
        <v>0.01</v>
      </c>
      <c r="K11" s="215">
        <v>0</v>
      </c>
      <c r="L11" s="215">
        <v>0.01</v>
      </c>
      <c r="M11" s="215">
        <v>0.05</v>
      </c>
    </row>
    <row r="12" spans="1:13" x14ac:dyDescent="0.3">
      <c r="A12" s="212" t="s">
        <v>485</v>
      </c>
      <c r="B12" s="213">
        <v>100917</v>
      </c>
      <c r="C12" s="213">
        <v>362163</v>
      </c>
      <c r="D12" s="213">
        <v>401175</v>
      </c>
      <c r="E12" s="213">
        <v>108735</v>
      </c>
      <c r="F12" s="213">
        <v>972990</v>
      </c>
      <c r="H12" s="212" t="s">
        <v>485</v>
      </c>
      <c r="I12" s="215">
        <v>0.45999999999999996</v>
      </c>
      <c r="J12" s="215">
        <v>7.0000000000000007E-2</v>
      </c>
      <c r="K12" s="215">
        <v>0</v>
      </c>
      <c r="L12" s="215">
        <v>8.9999999999999983E-2</v>
      </c>
      <c r="M12" s="215">
        <v>0.62000000000000011</v>
      </c>
    </row>
    <row r="15" spans="1:13" x14ac:dyDescent="0.3">
      <c r="A15" s="211" t="s">
        <v>489</v>
      </c>
      <c r="B15" s="211" t="s">
        <v>486</v>
      </c>
      <c r="H15" s="211" t="s">
        <v>492</v>
      </c>
      <c r="I15" s="211" t="s">
        <v>486</v>
      </c>
    </row>
    <row r="16" spans="1:13" x14ac:dyDescent="0.3">
      <c r="A16" s="211" t="s">
        <v>484</v>
      </c>
      <c r="B16" t="s">
        <v>193</v>
      </c>
      <c r="C16" t="s">
        <v>385</v>
      </c>
      <c r="D16" t="s">
        <v>191</v>
      </c>
      <c r="E16" t="s">
        <v>192</v>
      </c>
      <c r="F16" t="s">
        <v>485</v>
      </c>
      <c r="H16" s="211" t="s">
        <v>484</v>
      </c>
      <c r="I16" t="s">
        <v>193</v>
      </c>
      <c r="J16" t="s">
        <v>385</v>
      </c>
      <c r="K16" t="s">
        <v>191</v>
      </c>
      <c r="L16" t="s">
        <v>192</v>
      </c>
      <c r="M16" t="s">
        <v>485</v>
      </c>
    </row>
    <row r="17" spans="1:13" x14ac:dyDescent="0.3">
      <c r="A17" s="212">
        <v>2019</v>
      </c>
      <c r="B17" s="214">
        <v>0.45200000000000001</v>
      </c>
      <c r="C17" s="214">
        <v>0.80100000000000005</v>
      </c>
      <c r="D17" s="214">
        <v>0.23100000000000001</v>
      </c>
      <c r="E17" s="214">
        <v>0.69499999999999995</v>
      </c>
      <c r="F17" s="214">
        <v>2.1790000000000003</v>
      </c>
      <c r="H17" s="212">
        <v>2019</v>
      </c>
      <c r="I17">
        <v>1</v>
      </c>
      <c r="J17">
        <v>1</v>
      </c>
      <c r="K17">
        <v>1</v>
      </c>
      <c r="L17">
        <v>1</v>
      </c>
      <c r="M17">
        <v>4</v>
      </c>
    </row>
    <row r="18" spans="1:13" x14ac:dyDescent="0.3">
      <c r="A18" s="212">
        <v>2020</v>
      </c>
      <c r="B18" s="214">
        <v>0.51200000000000001</v>
      </c>
      <c r="C18" s="214">
        <v>0.81200000000000006</v>
      </c>
      <c r="D18" s="214">
        <v>0.217</v>
      </c>
      <c r="E18" s="214">
        <v>0.71199999999999997</v>
      </c>
      <c r="F18" s="214">
        <v>2.2530000000000001</v>
      </c>
      <c r="H18" s="212">
        <v>2020</v>
      </c>
      <c r="I18">
        <v>1</v>
      </c>
      <c r="J18">
        <v>1</v>
      </c>
      <c r="K18">
        <v>1</v>
      </c>
      <c r="L18">
        <v>1</v>
      </c>
      <c r="M18">
        <v>4</v>
      </c>
    </row>
    <row r="19" spans="1:13" x14ac:dyDescent="0.3">
      <c r="A19" s="212">
        <v>2021</v>
      </c>
      <c r="B19" s="214">
        <v>0.56799999999999995</v>
      </c>
      <c r="C19" s="214">
        <v>0.83399999999999996</v>
      </c>
      <c r="D19" s="214">
        <v>0.19500000000000001</v>
      </c>
      <c r="E19" s="214">
        <v>0.73</v>
      </c>
      <c r="F19" s="214">
        <v>2.327</v>
      </c>
      <c r="H19" s="212">
        <v>2021</v>
      </c>
      <c r="I19">
        <v>1</v>
      </c>
      <c r="J19">
        <v>1</v>
      </c>
      <c r="K19">
        <v>1</v>
      </c>
      <c r="L19">
        <v>1</v>
      </c>
      <c r="M19">
        <v>4</v>
      </c>
    </row>
    <row r="20" spans="1:13" x14ac:dyDescent="0.3">
      <c r="A20" s="212">
        <v>2022</v>
      </c>
      <c r="B20" s="214">
        <v>0.54100000000000004</v>
      </c>
      <c r="C20" s="214">
        <v>0.82099999999999995</v>
      </c>
      <c r="D20" s="214">
        <v>0.25800000000000001</v>
      </c>
      <c r="E20" s="214">
        <v>0.72099999999999997</v>
      </c>
      <c r="F20" s="214">
        <v>2.3410000000000002</v>
      </c>
      <c r="H20" s="212">
        <v>2022</v>
      </c>
      <c r="I20">
        <v>1</v>
      </c>
      <c r="J20">
        <v>1</v>
      </c>
      <c r="K20">
        <v>1</v>
      </c>
      <c r="L20">
        <v>1</v>
      </c>
      <c r="M20">
        <v>4</v>
      </c>
    </row>
    <row r="21" spans="1:13" x14ac:dyDescent="0.3">
      <c r="A21" s="212">
        <v>2023</v>
      </c>
      <c r="B21" s="214">
        <v>0.57199999999999995</v>
      </c>
      <c r="C21" s="214">
        <v>0.83799999999999997</v>
      </c>
      <c r="D21" s="214">
        <v>0.28899999999999998</v>
      </c>
      <c r="E21" s="214">
        <v>0.748</v>
      </c>
      <c r="F21" s="214">
        <v>2.4470000000000001</v>
      </c>
      <c r="H21" s="212">
        <v>2023</v>
      </c>
      <c r="I21">
        <v>1</v>
      </c>
      <c r="J21">
        <v>1</v>
      </c>
      <c r="K21">
        <v>1</v>
      </c>
      <c r="L21">
        <v>1</v>
      </c>
      <c r="M21">
        <v>4</v>
      </c>
    </row>
    <row r="22" spans="1:13" x14ac:dyDescent="0.3">
      <c r="A22" s="212">
        <v>2024</v>
      </c>
      <c r="B22" s="214">
        <v>0.58899999999999997</v>
      </c>
      <c r="C22" s="214">
        <v>0.84499999999999997</v>
      </c>
      <c r="D22" s="214">
        <v>0.30099999999999999</v>
      </c>
      <c r="E22" s="214">
        <v>0.76200000000000001</v>
      </c>
      <c r="F22" s="214">
        <v>2.4969999999999999</v>
      </c>
      <c r="H22" s="212">
        <v>2024</v>
      </c>
      <c r="I22">
        <v>1</v>
      </c>
      <c r="J22">
        <v>1</v>
      </c>
      <c r="K22">
        <v>1</v>
      </c>
      <c r="L22">
        <v>1</v>
      </c>
      <c r="M22">
        <v>4</v>
      </c>
    </row>
    <row r="23" spans="1:13" x14ac:dyDescent="0.3">
      <c r="A23" s="212">
        <v>2025</v>
      </c>
      <c r="B23" s="214">
        <v>0.60099999999999998</v>
      </c>
      <c r="C23" s="214">
        <v>0.85</v>
      </c>
      <c r="D23" s="214">
        <v>0.31</v>
      </c>
      <c r="E23" s="214">
        <v>0.77</v>
      </c>
      <c r="F23" s="214">
        <v>2.5310000000000001</v>
      </c>
      <c r="H23" s="212">
        <v>2025</v>
      </c>
      <c r="I23">
        <v>1</v>
      </c>
      <c r="J23">
        <v>1</v>
      </c>
      <c r="K23">
        <v>1</v>
      </c>
      <c r="L23">
        <v>1</v>
      </c>
      <c r="M23">
        <v>4</v>
      </c>
    </row>
    <row r="24" spans="1:13" x14ac:dyDescent="0.3">
      <c r="A24" s="212" t="s">
        <v>485</v>
      </c>
      <c r="B24" s="214">
        <v>3.835</v>
      </c>
      <c r="C24" s="214">
        <v>5.8009999999999993</v>
      </c>
      <c r="D24" s="214">
        <v>1.8009999999999999</v>
      </c>
      <c r="E24" s="214">
        <v>5.1379999999999999</v>
      </c>
      <c r="F24" s="214">
        <v>16.574999999999999</v>
      </c>
      <c r="H24" s="212" t="s">
        <v>485</v>
      </c>
      <c r="I24">
        <v>7</v>
      </c>
      <c r="J24">
        <v>7</v>
      </c>
      <c r="K24">
        <v>7</v>
      </c>
      <c r="L24">
        <v>7</v>
      </c>
      <c r="M24">
        <v>28</v>
      </c>
    </row>
    <row r="26" spans="1:13" x14ac:dyDescent="0.3">
      <c r="A26" s="211" t="s">
        <v>494</v>
      </c>
      <c r="B26" s="211" t="s">
        <v>486</v>
      </c>
      <c r="H26" s="211" t="s">
        <v>493</v>
      </c>
      <c r="I26" s="211" t="s">
        <v>486</v>
      </c>
    </row>
    <row r="27" spans="1:13" x14ac:dyDescent="0.3">
      <c r="A27" s="211" t="s">
        <v>484</v>
      </c>
      <c r="B27" t="s">
        <v>193</v>
      </c>
      <c r="C27" t="s">
        <v>385</v>
      </c>
      <c r="D27" t="s">
        <v>191</v>
      </c>
      <c r="E27" t="s">
        <v>192</v>
      </c>
      <c r="F27" t="s">
        <v>485</v>
      </c>
      <c r="H27" s="211" t="s">
        <v>484</v>
      </c>
      <c r="I27" t="s">
        <v>193</v>
      </c>
      <c r="J27" t="s">
        <v>385</v>
      </c>
      <c r="K27" t="s">
        <v>191</v>
      </c>
      <c r="L27" t="s">
        <v>192</v>
      </c>
      <c r="M27" t="s">
        <v>485</v>
      </c>
    </row>
    <row r="28" spans="1:13" x14ac:dyDescent="0.3">
      <c r="A28" s="212">
        <v>2019</v>
      </c>
      <c r="B28" s="214">
        <v>0.53800000000000003</v>
      </c>
      <c r="C28" s="214">
        <v>0.89200000000000002</v>
      </c>
      <c r="D28" s="214">
        <v>0.29799999999999999</v>
      </c>
      <c r="E28" s="214">
        <v>0.78100000000000003</v>
      </c>
      <c r="F28" s="214">
        <v>2.5090000000000003</v>
      </c>
      <c r="H28" s="212">
        <v>2019</v>
      </c>
      <c r="I28" s="215">
        <v>1.42</v>
      </c>
      <c r="J28" s="215">
        <v>1.38</v>
      </c>
      <c r="K28" s="215">
        <v>0.72</v>
      </c>
      <c r="L28" s="215">
        <v>1.82</v>
      </c>
      <c r="M28" s="215">
        <v>5.34</v>
      </c>
    </row>
    <row r="29" spans="1:13" x14ac:dyDescent="0.3">
      <c r="A29" s="212">
        <v>2020</v>
      </c>
      <c r="B29" s="214">
        <v>0.59799999999999998</v>
      </c>
      <c r="C29" s="214">
        <v>0.90100000000000002</v>
      </c>
      <c r="D29" s="214">
        <v>0.28100000000000003</v>
      </c>
      <c r="E29" s="214">
        <v>0.80100000000000005</v>
      </c>
      <c r="F29" s="214">
        <v>2.5810000000000004</v>
      </c>
      <c r="H29" s="212">
        <v>2020</v>
      </c>
      <c r="I29" s="215">
        <v>1.48</v>
      </c>
      <c r="J29" s="215">
        <v>1.41</v>
      </c>
      <c r="K29" s="215">
        <v>0.68</v>
      </c>
      <c r="L29" s="215">
        <v>1.91</v>
      </c>
      <c r="M29" s="215">
        <v>5.4799999999999995</v>
      </c>
    </row>
    <row r="30" spans="1:13" x14ac:dyDescent="0.3">
      <c r="A30" s="212">
        <v>2021</v>
      </c>
      <c r="B30" s="214">
        <v>0.65200000000000002</v>
      </c>
      <c r="C30" s="214">
        <v>0.92100000000000004</v>
      </c>
      <c r="D30" s="214">
        <v>0.25600000000000001</v>
      </c>
      <c r="E30" s="214">
        <v>0.82399999999999995</v>
      </c>
      <c r="F30" s="214">
        <v>2.653</v>
      </c>
      <c r="H30" s="212">
        <v>2021</v>
      </c>
      <c r="I30" s="215">
        <v>1.52</v>
      </c>
      <c r="J30" s="215">
        <v>1.44</v>
      </c>
      <c r="K30" s="215">
        <v>0.66</v>
      </c>
      <c r="L30" s="215">
        <v>1.94</v>
      </c>
      <c r="M30" s="215">
        <v>5.5600000000000005</v>
      </c>
    </row>
    <row r="31" spans="1:13" x14ac:dyDescent="0.3">
      <c r="A31" s="212">
        <v>2022</v>
      </c>
      <c r="B31" s="214">
        <v>0.628</v>
      </c>
      <c r="C31" s="214">
        <v>0.91200000000000003</v>
      </c>
      <c r="D31" s="214">
        <v>0.32100000000000001</v>
      </c>
      <c r="E31" s="214">
        <v>0.81200000000000006</v>
      </c>
      <c r="F31" s="214">
        <v>2.673</v>
      </c>
      <c r="H31" s="212">
        <v>2022</v>
      </c>
      <c r="I31" s="215">
        <v>1.56</v>
      </c>
      <c r="J31" s="215">
        <v>1.47</v>
      </c>
      <c r="K31" s="215">
        <v>0.71</v>
      </c>
      <c r="L31" s="215">
        <v>2.0099999999999998</v>
      </c>
      <c r="M31" s="215">
        <v>5.75</v>
      </c>
    </row>
    <row r="32" spans="1:13" x14ac:dyDescent="0.3">
      <c r="A32" s="212">
        <v>2023</v>
      </c>
      <c r="B32" s="214">
        <v>0.65800000000000003</v>
      </c>
      <c r="C32" s="214">
        <v>0.92800000000000005</v>
      </c>
      <c r="D32" s="214">
        <v>0.35599999999999998</v>
      </c>
      <c r="E32" s="214">
        <v>0.84099999999999997</v>
      </c>
      <c r="F32" s="214">
        <v>2.7830000000000004</v>
      </c>
      <c r="H32" s="212">
        <v>2023</v>
      </c>
      <c r="I32" s="215">
        <v>1.61</v>
      </c>
      <c r="J32" s="215">
        <v>1.52</v>
      </c>
      <c r="K32" s="215">
        <v>0.76</v>
      </c>
      <c r="L32" s="215">
        <v>2.09</v>
      </c>
      <c r="M32" s="215">
        <v>5.9799999999999995</v>
      </c>
    </row>
    <row r="33" spans="1:13" x14ac:dyDescent="0.3">
      <c r="A33" s="212">
        <v>2024</v>
      </c>
      <c r="B33" s="214">
        <v>0.67400000000000004</v>
      </c>
      <c r="C33" s="214">
        <v>0.93400000000000005</v>
      </c>
      <c r="D33" s="214">
        <v>0.36799999999999999</v>
      </c>
      <c r="E33" s="214">
        <v>0.85699999999999998</v>
      </c>
      <c r="F33" s="214">
        <v>2.8330000000000002</v>
      </c>
      <c r="H33" s="212">
        <v>2024</v>
      </c>
      <c r="I33" s="215">
        <v>1.65</v>
      </c>
      <c r="J33" s="215">
        <v>1.56</v>
      </c>
      <c r="K33" s="215">
        <v>0.79</v>
      </c>
      <c r="L33" s="215">
        <v>2.14</v>
      </c>
      <c r="M33" s="215">
        <v>6.1400000000000006</v>
      </c>
    </row>
    <row r="34" spans="1:13" x14ac:dyDescent="0.3">
      <c r="A34" s="212">
        <v>2025</v>
      </c>
      <c r="B34" s="214">
        <v>0.68799999999999994</v>
      </c>
      <c r="C34" s="214">
        <v>0.94099999999999995</v>
      </c>
      <c r="D34" s="214">
        <v>0.378</v>
      </c>
      <c r="E34" s="214">
        <v>0.86499999999999999</v>
      </c>
      <c r="F34" s="214">
        <v>2.8719999999999999</v>
      </c>
      <c r="H34" s="212">
        <v>2025</v>
      </c>
      <c r="I34" s="215">
        <v>1.71</v>
      </c>
      <c r="J34" s="215">
        <v>1.6</v>
      </c>
      <c r="K34" s="215">
        <v>0.82</v>
      </c>
      <c r="L34" s="215">
        <v>2.19</v>
      </c>
      <c r="M34" s="215">
        <v>6.32</v>
      </c>
    </row>
    <row r="35" spans="1:13" x14ac:dyDescent="0.3">
      <c r="A35" s="212" t="s">
        <v>485</v>
      </c>
      <c r="B35" s="214">
        <v>4.4359999999999999</v>
      </c>
      <c r="C35" s="214">
        <v>6.4290000000000003</v>
      </c>
      <c r="D35" s="214">
        <v>2.258</v>
      </c>
      <c r="E35" s="214">
        <v>5.7810000000000006</v>
      </c>
      <c r="F35" s="214">
        <v>18.904000000000003</v>
      </c>
      <c r="H35" s="212" t="s">
        <v>485</v>
      </c>
      <c r="I35" s="215">
        <v>10.95</v>
      </c>
      <c r="J35" s="215">
        <v>10.38</v>
      </c>
      <c r="K35" s="215">
        <v>5.1400000000000006</v>
      </c>
      <c r="L35" s="215">
        <v>14.1</v>
      </c>
      <c r="M35" s="215">
        <v>40.57</v>
      </c>
    </row>
    <row r="38" spans="1:13" x14ac:dyDescent="0.3">
      <c r="A38" s="211" t="s">
        <v>490</v>
      </c>
      <c r="B38" s="211" t="s">
        <v>486</v>
      </c>
      <c r="H38" s="211" t="s">
        <v>488</v>
      </c>
      <c r="I38" s="211" t="s">
        <v>486</v>
      </c>
    </row>
    <row r="39" spans="1:13" x14ac:dyDescent="0.3">
      <c r="A39" s="211" t="s">
        <v>484</v>
      </c>
      <c r="B39" t="s">
        <v>193</v>
      </c>
      <c r="C39" t="s">
        <v>385</v>
      </c>
      <c r="D39" t="s">
        <v>191</v>
      </c>
      <c r="E39" t="s">
        <v>192</v>
      </c>
      <c r="F39" t="s">
        <v>485</v>
      </c>
      <c r="H39" s="211" t="s">
        <v>484</v>
      </c>
      <c r="I39" t="s">
        <v>193</v>
      </c>
      <c r="J39" t="s">
        <v>385</v>
      </c>
      <c r="K39" t="s">
        <v>191</v>
      </c>
      <c r="L39" t="s">
        <v>192</v>
      </c>
      <c r="M39" t="s">
        <v>485</v>
      </c>
    </row>
    <row r="40" spans="1:13" x14ac:dyDescent="0.3">
      <c r="A40" s="212">
        <v>2019</v>
      </c>
      <c r="B40" s="215">
        <v>0.62</v>
      </c>
      <c r="C40" s="215">
        <v>0.68</v>
      </c>
      <c r="D40" s="215">
        <v>2.5099999999999998</v>
      </c>
      <c r="E40" s="215">
        <v>0.55000000000000004</v>
      </c>
      <c r="F40" s="215">
        <v>4.3599999999999994</v>
      </c>
      <c r="H40" s="212">
        <v>2019</v>
      </c>
      <c r="I40" s="214">
        <v>0.121</v>
      </c>
      <c r="J40" s="214">
        <v>0.22900000000000001</v>
      </c>
      <c r="K40" s="214">
        <v>0.34200000000000003</v>
      </c>
      <c r="L40" s="214">
        <v>0.221</v>
      </c>
      <c r="M40" s="214">
        <v>0.91299999999999992</v>
      </c>
    </row>
    <row r="41" spans="1:13" x14ac:dyDescent="0.3">
      <c r="A41" s="212">
        <v>2020</v>
      </c>
      <c r="B41" s="215">
        <v>0.71</v>
      </c>
      <c r="C41" s="215">
        <v>0.71</v>
      </c>
      <c r="D41" s="215">
        <v>2.64</v>
      </c>
      <c r="E41" s="215">
        <v>0.61</v>
      </c>
      <c r="F41" s="215">
        <v>4.6700000000000008</v>
      </c>
      <c r="H41" s="212">
        <v>2020</v>
      </c>
      <c r="I41" s="214">
        <v>0.14199999999999999</v>
      </c>
      <c r="J41" s="214">
        <v>0.23100000000000001</v>
      </c>
      <c r="K41" s="214">
        <v>0.31900000000000001</v>
      </c>
      <c r="L41" s="214">
        <v>0.23499999999999999</v>
      </c>
      <c r="M41" s="214">
        <v>0.92699999999999994</v>
      </c>
    </row>
    <row r="42" spans="1:13" x14ac:dyDescent="0.3">
      <c r="A42" s="212">
        <v>2021</v>
      </c>
      <c r="B42" s="215">
        <v>0.78</v>
      </c>
      <c r="C42" s="215">
        <v>0.75</v>
      </c>
      <c r="D42" s="215">
        <v>2.88</v>
      </c>
      <c r="E42" s="215">
        <v>0.68</v>
      </c>
      <c r="F42" s="215">
        <v>5.09</v>
      </c>
      <c r="H42" s="212">
        <v>2021</v>
      </c>
      <c r="I42" s="214">
        <v>0.156</v>
      </c>
      <c r="J42" s="214">
        <v>0.23799999999999999</v>
      </c>
      <c r="K42" s="214">
        <v>0.32800000000000001</v>
      </c>
      <c r="L42" s="214">
        <v>0.24099999999999999</v>
      </c>
      <c r="M42" s="214">
        <v>0.96299999999999997</v>
      </c>
    </row>
    <row r="43" spans="1:13" x14ac:dyDescent="0.3">
      <c r="A43" s="212">
        <v>2022</v>
      </c>
      <c r="B43" s="215">
        <v>0.82</v>
      </c>
      <c r="C43" s="215">
        <v>0.78</v>
      </c>
      <c r="D43" s="215">
        <v>2.92</v>
      </c>
      <c r="E43" s="215">
        <v>0.72</v>
      </c>
      <c r="F43" s="215">
        <v>5.2399999999999993</v>
      </c>
      <c r="H43" s="212">
        <v>2022</v>
      </c>
      <c r="I43" s="214">
        <v>0.14799999999999999</v>
      </c>
      <c r="J43" s="214">
        <v>0.23200000000000001</v>
      </c>
      <c r="K43" s="214">
        <v>0.35199999999999998</v>
      </c>
      <c r="L43" s="214">
        <v>0.23799999999999999</v>
      </c>
      <c r="M43" s="214">
        <v>0.97</v>
      </c>
    </row>
    <row r="44" spans="1:13" x14ac:dyDescent="0.3">
      <c r="A44" s="212">
        <v>2023</v>
      </c>
      <c r="B44" s="215">
        <v>0.89</v>
      </c>
      <c r="C44" s="215">
        <v>0.81</v>
      </c>
      <c r="D44" s="215">
        <v>3.1</v>
      </c>
      <c r="E44" s="215">
        <v>0.71</v>
      </c>
      <c r="F44" s="215">
        <v>5.5100000000000007</v>
      </c>
      <c r="H44" s="212">
        <v>2023</v>
      </c>
      <c r="I44" s="214">
        <v>0.158</v>
      </c>
      <c r="J44" s="214">
        <v>0.23499999999999999</v>
      </c>
      <c r="K44" s="214">
        <v>0.36099999999999999</v>
      </c>
      <c r="L44" s="214">
        <v>0.245</v>
      </c>
      <c r="M44" s="214">
        <v>0.999</v>
      </c>
    </row>
    <row r="45" spans="1:13" x14ac:dyDescent="0.3">
      <c r="A45" s="212">
        <v>2024</v>
      </c>
      <c r="B45" s="215">
        <v>0.92</v>
      </c>
      <c r="C45" s="215">
        <v>0.83</v>
      </c>
      <c r="D45" s="215">
        <v>3.28</v>
      </c>
      <c r="E45" s="215">
        <v>0.74</v>
      </c>
      <c r="F45" s="215">
        <v>5.77</v>
      </c>
      <c r="H45" s="212">
        <v>2024</v>
      </c>
      <c r="I45" s="214">
        <v>0.16300000000000001</v>
      </c>
      <c r="J45" s="214">
        <v>0.24</v>
      </c>
      <c r="K45" s="214">
        <v>0.35799999999999998</v>
      </c>
      <c r="L45" s="214">
        <v>0.248</v>
      </c>
      <c r="M45" s="214">
        <v>1.0089999999999999</v>
      </c>
    </row>
    <row r="46" spans="1:13" x14ac:dyDescent="0.3">
      <c r="A46" s="212">
        <v>2025</v>
      </c>
      <c r="B46" s="215">
        <v>0.96</v>
      </c>
      <c r="C46" s="215">
        <v>0.85</v>
      </c>
      <c r="D46" s="215">
        <v>3.35</v>
      </c>
      <c r="E46" s="215">
        <v>0.76</v>
      </c>
      <c r="F46" s="215">
        <v>5.92</v>
      </c>
      <c r="H46" s="212">
        <v>2025</v>
      </c>
      <c r="I46" s="214">
        <v>0.16800000000000001</v>
      </c>
      <c r="J46" s="214">
        <v>0.245</v>
      </c>
      <c r="K46" s="214">
        <v>0.36299999999999999</v>
      </c>
      <c r="L46" s="214">
        <v>0.251</v>
      </c>
      <c r="M46" s="214">
        <v>1.0270000000000001</v>
      </c>
    </row>
    <row r="47" spans="1:13" x14ac:dyDescent="0.3">
      <c r="A47" s="212" t="s">
        <v>485</v>
      </c>
      <c r="B47" s="215">
        <v>5.7</v>
      </c>
      <c r="C47" s="215">
        <v>5.4099999999999993</v>
      </c>
      <c r="D47" s="215">
        <v>20.680000000000003</v>
      </c>
      <c r="E47" s="215">
        <v>4.7700000000000005</v>
      </c>
      <c r="F47" s="215">
        <v>36.56</v>
      </c>
      <c r="H47" s="212" t="s">
        <v>485</v>
      </c>
      <c r="I47" s="214">
        <v>1.056</v>
      </c>
      <c r="J47" s="214">
        <v>1.65</v>
      </c>
      <c r="K47" s="214">
        <v>2.423</v>
      </c>
      <c r="L47" s="214">
        <v>1.6789999999999998</v>
      </c>
      <c r="M47" s="214">
        <v>6.8079999999999989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97A35-A4D1-4BAE-AD84-5D6811C2C362}">
  <dimension ref="A1:AB3"/>
  <sheetViews>
    <sheetView topLeftCell="A4" zoomScale="72" workbookViewId="0">
      <selection activeCell="O4" sqref="O4"/>
    </sheetView>
  </sheetViews>
  <sheetFormatPr defaultRowHeight="14.4" x14ac:dyDescent="0.3"/>
  <sheetData>
    <row r="1" spans="1:28" x14ac:dyDescent="0.3">
      <c r="A1" s="284" t="s">
        <v>496</v>
      </c>
      <c r="B1" s="285"/>
      <c r="C1" s="285"/>
      <c r="D1" s="285"/>
      <c r="E1" s="285"/>
      <c r="F1" s="285"/>
      <c r="G1" s="285"/>
      <c r="H1" s="285"/>
      <c r="I1" s="285"/>
      <c r="J1" s="285"/>
      <c r="K1" s="285"/>
      <c r="L1" s="285"/>
      <c r="M1" s="285"/>
      <c r="N1" s="285"/>
      <c r="O1" s="285"/>
      <c r="P1" s="285"/>
      <c r="Q1" s="285"/>
      <c r="R1" s="285"/>
      <c r="S1" s="285"/>
      <c r="T1" s="285"/>
      <c r="U1" s="285"/>
      <c r="V1" s="285"/>
      <c r="W1" s="285"/>
      <c r="X1" s="285"/>
      <c r="Y1" s="285"/>
      <c r="Z1" s="285"/>
      <c r="AA1" s="285"/>
      <c r="AB1" s="285"/>
    </row>
    <row r="2" spans="1:28" x14ac:dyDescent="0.3">
      <c r="A2" s="285"/>
      <c r="B2" s="285"/>
      <c r="C2" s="285"/>
      <c r="D2" s="285"/>
      <c r="E2" s="285"/>
      <c r="F2" s="285"/>
      <c r="G2" s="285"/>
      <c r="H2" s="285"/>
      <c r="I2" s="285"/>
      <c r="J2" s="285"/>
      <c r="K2" s="285"/>
      <c r="L2" s="285"/>
      <c r="M2" s="285"/>
      <c r="N2" s="285"/>
      <c r="O2" s="285"/>
      <c r="P2" s="285"/>
      <c r="Q2" s="285"/>
      <c r="R2" s="285"/>
      <c r="S2" s="285"/>
      <c r="T2" s="285"/>
      <c r="U2" s="285"/>
      <c r="V2" s="285"/>
      <c r="W2" s="285"/>
      <c r="X2" s="285"/>
      <c r="Y2" s="285"/>
      <c r="Z2" s="285"/>
      <c r="AA2" s="285"/>
      <c r="AB2" s="285"/>
    </row>
    <row r="3" spans="1:28" x14ac:dyDescent="0.3">
      <c r="A3" s="285"/>
      <c r="B3" s="285"/>
      <c r="C3" s="285"/>
      <c r="D3" s="285"/>
      <c r="E3" s="285"/>
      <c r="F3" s="285"/>
      <c r="G3" s="285"/>
      <c r="H3" s="285"/>
      <c r="I3" s="285"/>
      <c r="J3" s="285"/>
      <c r="K3" s="285"/>
      <c r="L3" s="285"/>
      <c r="M3" s="285"/>
      <c r="N3" s="285"/>
      <c r="O3" s="285"/>
      <c r="P3" s="285"/>
      <c r="Q3" s="285"/>
      <c r="R3" s="285"/>
      <c r="S3" s="285"/>
      <c r="T3" s="285"/>
      <c r="U3" s="285"/>
      <c r="V3" s="285"/>
      <c r="W3" s="285"/>
      <c r="X3" s="285"/>
      <c r="Y3" s="285"/>
      <c r="Z3" s="285"/>
      <c r="AA3" s="285"/>
      <c r="AB3" s="285"/>
    </row>
  </sheetData>
  <mergeCells count="1">
    <mergeCell ref="A1:AB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Sources</vt:lpstr>
      <vt:lpstr>Company Overview</vt:lpstr>
      <vt:lpstr>Raw Data</vt:lpstr>
      <vt:lpstr>Assumptions</vt:lpstr>
      <vt:lpstr>Financial Statements</vt:lpstr>
      <vt:lpstr>PPE Schedule</vt:lpstr>
      <vt:lpstr>Beta</vt:lpstr>
      <vt:lpstr>WACC</vt:lpstr>
      <vt:lpstr>DCF</vt:lpstr>
      <vt:lpstr>Relative Valuation</vt:lpstr>
      <vt:lpstr>All Ratio Forecasr</vt:lpstr>
      <vt:lpstr>Detail1</vt:lpstr>
      <vt:lpstr>Peer Comparison</vt:lpstr>
      <vt:lpstr>Key Ratio Forecast</vt:lpstr>
      <vt:lpstr>PIVOT TABLE</vt:lpstr>
      <vt:lpstr>Peer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Aditi Singla</cp:lastModifiedBy>
  <cp:revision>0</cp:revision>
  <dcterms:created xsi:type="dcterms:W3CDTF">2026-04-04T02:15:34Z</dcterms:created>
  <dcterms:modified xsi:type="dcterms:W3CDTF">2026-04-04T16:28:57Z</dcterms:modified>
  <dc:language>en-US</dc:language>
</cp:coreProperties>
</file>